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292f1ee04543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0d3c161792d4bb9"/>
    <x:sheet xmlns:r="http://schemas.openxmlformats.org/officeDocument/2006/relationships" name="Participants" sheetId="2" r:id="R3f7bdd755f274126"/>
    <x:sheet xmlns:r="http://schemas.openxmlformats.org/officeDocument/2006/relationships" name="Sessions" sheetId="3" r:id="R14a4186bcc124e0c"/>
    <x:sheet xmlns:r="http://schemas.openxmlformats.org/officeDocument/2006/relationships" name="Attempts" sheetId="4" r:id="R76db067b5c4f40b0"/>
    <x:sheet xmlns:r="http://schemas.openxmlformats.org/officeDocument/2006/relationships" name="Expert Labels" sheetId="5" r:id="R0ad401e84ed64605"/>
    <x:sheet xmlns:r="http://schemas.openxmlformats.org/officeDocument/2006/relationships" name="Session Training Data" sheetId="6" r:id="R31ef59ea6ed242cf"/>
    <x:sheet xmlns:r="http://schemas.openxmlformats.org/officeDocument/2006/relationships" name="Dummy Attempts" sheetId="7" r:id="R601d75e798ba4518"/>
    <x:sheet xmlns:r="http://schemas.openxmlformats.org/officeDocument/2006/relationships" name="Dummy Sessions" sheetId="8" r:id="R8472b30e7cc54e33"/>
    <x:sheet xmlns:r="http://schemas.openxmlformats.org/officeDocument/2006/relationships" name="Feature Dictionary" sheetId="9" r:id="R888badd1693c443b"/>
    <x:sheet xmlns:r="http://schemas.openxmlformats.org/officeDocument/2006/relationships" name="Code Lists" sheetId="10" r:id="R9ec0f859408843a5"/>
    <x:sheet xmlns:r="http://schemas.openxmlformats.org/officeDocument/2006/relationships" name="Quality Checks" sheetId="11" r:id="R7300a6f321ab4f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0"/>
    <x:numFmt numFmtId="202" formatCode="yyyy-mm-dd hh:mm"/>
    <x:numFmt numFmtId="203" formatCode="0.00"/>
    <x:numFmt numFmtId="204" formatCode="0.000"/>
  </x:numFmts>
  <x:fonts count="11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2606D"/>
      <x:name val="Carlito"/>
    </x:font>
    <x:font>
      <x:b/>
      <x:sz val="11"/>
      <x:color rgb="FFFFFFFF"/>
      <x:name val="Carlito"/>
    </x:font>
    <x:font>
      <x:sz val="11"/>
      <x:color rgb="FF263238"/>
      <x:name val="Carlito"/>
    </x:font>
    <x:font>
      <x:b/>
      <x:sz val="11"/>
      <x:color rgb="FF17324D"/>
      <x:name val="Carlito"/>
    </x:font>
    <x:font>
      <x:b/>
      <x:sz val="9"/>
      <x:color rgb="FFFFFFFF"/>
      <x:name val="Carlito"/>
    </x:font>
    <x:font>
      <x:b/>
      <x:sz val="14"/>
      <x:color rgb="FFFFFFFF"/>
      <x:name val="Carlito"/>
    </x:font>
    <x:font>
      <x:i/>
      <x:sz val="11"/>
      <x:color rgb="FFA63D40"/>
      <x:name val="Carlito"/>
    </x:font>
    <x:font>
      <x:b/>
      <x:sz val="12"/>
      <x:color rgb="FFFFFFFF"/>
      <x:name val="Carlito"/>
    </x:font>
    <x:font>
      <x:b/>
      <x:sz val="14"/>
      <x:color rgb="FF17324D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5F7F8"/>
      </x:patternFill>
    </x:fill>
    <x:fill>
      <x:patternFill patternType="solid">
        <x:fgColor rgb="FF1F6F78"/>
      </x:patternFill>
    </x:fill>
    <x:fill>
      <x:patternFill patternType="solid">
        <x:fgColor rgb="FFDCEFF1"/>
      </x:patternFill>
    </x:fill>
    <x:fill>
      <x:patternFill patternType="solid">
        <x:fgColor rgb="FFFFFFFF"/>
      </x:patternFill>
    </x:fill>
    <x:fill>
      <x:patternFill patternType="solid">
        <x:fgColor rgb="FFFFF4CC"/>
      </x:patternFill>
    </x:fill>
    <x:fill>
      <x:patternFill patternType="solid">
        <x:fgColor rgb="FFE7F0F8"/>
      </x:patternFill>
    </x:fill>
    <x:fill>
      <x:patternFill patternType="solid">
        <x:fgColor rgb="FFE2F2E9"/>
      </x:patternFill>
    </x:fill>
    <x:fill>
      <x:patternFill patternType="solid">
        <x:fgColor rgb="FFA66514"/>
      </x:patternFill>
    </x:fill>
    <x:fill>
      <x:patternFill patternType="solid">
        <x:fgColor rgb="FF52606D"/>
      </x:patternFill>
    </x:fill>
    <x:fill>
      <x:patternFill patternType="solid">
        <x:fgColor rgb="FF2E7D5B"/>
      </x:patternFill>
    </x:fill>
    <x:fill>
      <x:patternFill patternType="solid">
        <x:fgColor rgb="FF3F6F8F"/>
      </x:patternFill>
    </x:fill>
    <x:fill>
      <x:patternFill patternType="solid">
        <x:fgColor rgb="FFA63D40"/>
      </x:patternFill>
    </x:fill>
    <x:fill>
      <x:patternFill patternType="solid">
        <x:fgColor rgb="FFFBE7E7"/>
      </x:patternFill>
    </x:fill>
  </x:fills>
  <x:borders count="23">
    <x:border/>
    <x:border>
      <x:left style="thin">
        <x:color rgb="FFCBD3DA"/>
      </x:left>
      <x:top style="thin">
        <x:color rgb="FFCBD3DA"/>
      </x:top>
    </x:border>
    <x:border>
      <x:top style="thin">
        <x:color rgb="FFCBD3DA"/>
      </x:top>
    </x:border>
    <x:border>
      <x:right style="thin">
        <x:color rgb="FFCBD3DA"/>
      </x:right>
      <x:top style="thin">
        <x:color rgb="FFCBD3DA"/>
      </x:top>
    </x:border>
    <x:border>
      <x:left style="thin">
        <x:color rgb="FFCBD3DA"/>
      </x:left>
    </x:border>
    <x:border>
      <x:right style="thin">
        <x:color rgb="FFCBD3DA"/>
      </x:right>
    </x:border>
    <x:border>
      <x:left style="thin">
        <x:color rgb="FFCBD3DA"/>
      </x:left>
      <x:bottom style="thin">
        <x:color rgb="FFCBD3DA"/>
      </x:bottom>
    </x:border>
    <x:border>
      <x:bottom style="thin">
        <x:color rgb="FFCBD3DA"/>
      </x:bottom>
    </x:border>
    <x:border>
      <x:right style="thin">
        <x:color rgb="FFCBD3DA"/>
      </x:right>
      <x:bottom style="thin">
        <x:color rgb="FFCBD3DA"/>
      </x:bottom>
    </x:border>
    <x:border>
      <x:right style="thin">
        <x:color rgb="FFE5EAEE"/>
      </x:right>
      <x:bottom style="thin">
        <x:color rgb="FFE5EAEE"/>
      </x:bottom>
    </x:border>
    <x:border>
      <x:left style="thin">
        <x:color rgb="FFE5EAEE"/>
      </x:left>
      <x:right style="thin">
        <x:color rgb="FFE5EAEE"/>
      </x:right>
      <x:bottom style="thin">
        <x:color rgb="FFE5EAEE"/>
      </x:bottom>
    </x:border>
    <x:border>
      <x:left style="thin">
        <x:color rgb="FFE5EAEE"/>
      </x:left>
      <x:bottom style="thin">
        <x:color rgb="FFE5EAEE"/>
      </x:bottom>
    </x:border>
    <x:border>
      <x:right style="thin">
        <x:color rgb="FFE5EAEE"/>
      </x:right>
      <x:top style="thin">
        <x:color rgb="FFE5EAEE"/>
      </x:top>
      <x:bottom style="thin">
        <x:color rgb="FFE5EAEE"/>
      </x:bottom>
    </x:border>
    <x:border>
      <x:left style="thin">
        <x:color rgb="FFE5EAEE"/>
      </x:left>
      <x:right style="thin">
        <x:color rgb="FFE5EAEE"/>
      </x:right>
      <x:top style="thin">
        <x:color rgb="FFE5EAEE"/>
      </x:top>
      <x:bottom style="thin">
        <x:color rgb="FFE5EAEE"/>
      </x:bottom>
    </x:border>
    <x:border>
      <x:left style="thin">
        <x:color rgb="FFE5EAEE"/>
      </x:left>
      <x:top style="thin">
        <x:color rgb="FFE5EAEE"/>
      </x:top>
      <x:bottom style="thin">
        <x:color rgb="FFE5EAEE"/>
      </x:bottom>
    </x:border>
    <x:border>
      <x:right style="thin">
        <x:color rgb="FFE5EAEE"/>
      </x:right>
      <x:top style="thin">
        <x:color rgb="FFE5EAEE"/>
      </x:top>
    </x:border>
    <x:border>
      <x:left style="thin">
        <x:color rgb="FFE5EAEE"/>
      </x:left>
      <x:right style="thin">
        <x:color rgb="FFE5EAEE"/>
      </x:right>
      <x:top style="thin">
        <x:color rgb="FFE5EAEE"/>
      </x:top>
    </x:border>
    <x:border>
      <x:left style="thin">
        <x:color rgb="FFE5EAEE"/>
      </x:left>
      <x:top style="thin">
        <x:color rgb="FFE5EAEE"/>
      </x:top>
    </x:border>
    <x:border>
      <x:left style="thin">
        <x:color rgb="FFCBD3DA"/>
      </x:left>
      <x:right style="thin">
        <x:color rgb="FFCBD3DA"/>
      </x:right>
      <x:bottom style="thin">
        <x:color rgb="FFCBD3DA"/>
      </x:bottom>
    </x:border>
    <x:border>
      <x:right style="thin">
        <x:color rgb="FFCBD3DA"/>
      </x:right>
      <x:top style="thin">
        <x:color rgb="FFCBD3DA"/>
      </x:top>
      <x:bottom style="thin">
        <x:color rgb="FFCBD3DA"/>
      </x:bottom>
    </x:border>
    <x:border>
      <x:left style="thin">
        <x:color rgb="FFCBD3DA"/>
      </x:left>
      <x:right style="thin">
        <x:color rgb="FFCBD3DA"/>
      </x:right>
      <x:top style="thin">
        <x:color rgb="FFCBD3DA"/>
      </x:top>
      <x:bottom style="thin">
        <x:color rgb="FFCBD3DA"/>
      </x:bottom>
    </x:border>
    <x:border>
      <x:left style="thin">
        <x:color rgb="FFCBD3DA"/>
      </x:left>
      <x:top style="thin">
        <x:color rgb="FFCBD3DA"/>
      </x:top>
      <x:bottom style="thin">
        <x:color rgb="FFCBD3DA"/>
      </x:bottom>
    </x:border>
    <x:border>
      <x:left style="thin">
        <x:color rgb="FFCBD3DA"/>
      </x:left>
      <x:right style="thin">
        <x:color rgb="FFCBD3DA"/>
      </x:right>
      <x:top style="thin">
        <x:color rgb="FFCBD3DA"/>
      </x:top>
    </x:border>
  </x:borders>
  <x:cellStyleXfs count="1">
    <x:xf numFmtId="0" fontId="0" fillId="0" borderId="0"/>
  </x:cellStyleXfs>
  <x:cellXfs count="1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top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/>
    </x:xf>
    <x:xf numFmtId="0" fontId="4" fillId="3" borderId="2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/>
    </x:xf>
    <x:xf numFmtId="0" fontId="4" fillId="3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/>
    </x:xf>
    <x:xf numFmtId="0" fontId="4" fillId="3" borderId="7" xfId="0" applyNumberFormat="1" applyFont="1" applyFill="1" applyBorder="1" applyAlignment="1">
      <x:alignment vertical="top" wrapText="1"/>
    </x:xf>
    <x:xf numFmtId="0" fontId="4" fillId="3" borderId="8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5" fillId="0" borderId="9" xfId="0" applyNumberFormat="1" applyFont="1" applyFill="1" applyBorder="1"/>
    <x:xf numFmtId="0" fontId="5" fillId="0" borderId="12" xfId="0" applyNumberFormat="1" applyFont="1" applyFill="1" applyBorder="1"/>
    <x:xf numFmtId="0" fontId="5" fillId="0" borderId="15" xfId="0" applyNumberFormat="1" applyFont="1" applyFill="1" applyBorder="1"/>
    <x:xf numFmtId="0" fontId="5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5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5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18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3" borderId="19" xfId="0" applyNumberFormat="1" applyFont="1" applyFill="1" applyBorder="1"/>
    <x:xf numFmtId="0" fontId="0" fillId="3" borderId="20" xfId="0" applyNumberFormat="1" applyFont="1" applyFill="1" applyBorder="1"/>
    <x:xf numFmtId="0" fontId="0" fillId="3" borderId="21" xfId="0" applyNumberFormat="1" applyFont="1" applyFill="1" applyBorder="1"/>
    <x:xf numFmtId="0" fontId="0" fillId="3" borderId="3" xfId="0" applyNumberFormat="1" applyFont="1" applyFill="1" applyBorder="1"/>
    <x:xf numFmtId="0" fontId="0" fillId="3" borderId="22" xfId="0" applyNumberFormat="1" applyFont="1" applyFill="1" applyBorder="1"/>
    <x:xf numFmtId="0" fontId="0" fillId="3" borderId="1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  <x:xf numFmtId="0" fontId="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6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6" fillId="12" borderId="0" xfId="0" applyNumberFormat="1" applyFont="1" applyFill="1" applyBorder="1"/>
    <x:xf numFmtId="0" fontId="6" fillId="12" borderId="0" xfId="0" applyNumberFormat="1" applyFont="1" applyFill="1" applyBorder="1" applyAlignment="1">
      <x:alignment wrapText="1"/>
    </x:xf>
    <x:xf numFmtId="0" fontId="6" fillId="12" borderId="0" xfId="0" applyNumberFormat="1" applyFont="1" applyFill="1" applyBorder="1" applyAlignment="1">
      <x:alignment vertical="center" wrapText="1"/>
    </x:xf>
    <x:xf numFmtId="200" fontId="0" fillId="5" borderId="0" xfId="0" applyNumberFormat="1" applyFont="1" applyFill="1" applyBorder="1"/>
    <x:xf numFmtId="201" fontId="0" fillId="7" borderId="0" xfId="0" applyNumberFormat="1" applyFont="1" applyFill="1" applyBorder="1"/>
    <x:xf numFmtId="202" fontId="0" fillId="6" borderId="0" xfId="0" applyNumberFormat="1" applyFont="1" applyFill="1" applyBorder="1"/>
    <x:xf numFmtId="201" fontId="0" fillId="6" borderId="0" xfId="0" applyNumberFormat="1" applyFont="1" applyFill="1" applyBorder="1"/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6" fillId="13" borderId="0" xfId="0" applyNumberFormat="1" applyFont="1" applyFill="1" applyBorder="1" applyAlignment="1">
      <x:alignment vertical="center" wrapText="1"/>
    </x:xf>
    <x:xf numFmtId="202" fontId="0" fillId="7" borderId="0" xfId="0" applyNumberFormat="1" applyFont="1" applyFill="1" applyBorder="1"/>
    <x:xf numFmtId="201" fontId="0" fillId="8" borderId="0" xfId="0" applyNumberFormat="1" applyFont="1" applyFill="1" applyBorder="1"/>
    <x:xf numFmtId="203" fontId="0" fillId="8" borderId="0" xfId="0" applyNumberFormat="1" applyFont="1" applyFill="1" applyBorder="1"/>
    <x:xf numFmtId="204" fontId="0" fillId="8" borderId="0" xfId="0" applyNumberFormat="1" applyFont="1" applyFill="1" applyBorder="1"/>
    <x:xf numFmtId="201" fontId="0" fillId="9" borderId="0" xfId="0" applyNumberFormat="1" applyFont="1" applyFill="1" applyBorder="1"/>
    <x:xf numFmtId="204" fontId="0" fillId="9" borderId="0" xfId="0" applyNumberFormat="1" applyFont="1" applyFill="1" applyBorder="1"/>
    <x:xf numFmtId="202" fontId="0" fillId="9" borderId="0" xfId="0" applyNumberFormat="1" applyFont="1" applyFill="1" applyBorder="1"/>
    <x:xf numFmtId="0" fontId="0" fillId="14" borderId="0" xfId="0" applyNumberFormat="1" applyFont="1" applyFill="1" applyBorder="1"/>
    <x:xf numFmtId="0" fontId="7" fillId="14" borderId="0" xfId="0" applyNumberFormat="1" applyFont="1" applyFill="1" applyBorder="1"/>
    <x:xf numFmtId="0" fontId="7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8" fillId="15" borderId="0" xfId="0" applyNumberFormat="1" applyFont="1" applyFill="1" applyBorder="1"/>
    <x:xf numFmtId="0" fontId="8" fillId="15" borderId="0" xfId="0" applyNumberFormat="1" applyFont="1" applyFill="1" applyBorder="1" applyAlignment="1">
      <x:alignment wrapText="1"/>
    </x:xf>
    <x:xf numFmtId="200" fontId="0" fillId="15" borderId="0" xfId="0" applyNumberFormat="1" applyFont="1" applyFill="1" applyBorder="1"/>
    <x:xf numFmtId="201" fontId="0" fillId="15" borderId="0" xfId="0" applyNumberFormat="1" applyFont="1" applyFill="1" applyBorder="1"/>
    <x:xf numFmtId="203" fontId="0" fillId="15" borderId="0" xfId="0" applyNumberFormat="1" applyFont="1" applyFill="1" applyBorder="1"/>
    <x:xf numFmtId="204" fontId="0" fillId="15" borderId="0" xfId="0" applyNumberFormat="1" applyFont="1" applyFill="1" applyBorder="1"/>
    <x:xf numFmtId="202" fontId="0" fillId="1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/>
  </x:cellXfs>
  <x:cellStyles count="1">
    <x:cellStyle name="Normal" xfId="0"/>
  </x:cellStyles>
  <x:dxfs count="8">
    <x:dxf>
      <x:font>
        <x:b/>
        <x:color rgb="FF2E7D5B"/>
      </x:font>
      <x:fill>
        <x:patternFill patternType="solid">
          <x:bgColor rgb="FFE2F2E9"/>
        </x:patternFill>
      </x:fill>
    </x:dxf>
    <x:dxf>
      <x:font>
        <x:b/>
        <x:color rgb="FFA63D40"/>
      </x:font>
      <x:fill>
        <x:patternFill patternType="solid">
          <x:bgColor rgb="FFFBE7E7"/>
        </x:patternFill>
      </x:fill>
    </x:dxf>
    <x:dxf>
      <x:font>
        <x:b/>
        <x:color rgb="FFA66514"/>
      </x:font>
      <x:fill>
        <x:patternFill patternType="solid">
          <x:bgColor rgb="FFFFF0D6"/>
        </x:patternFill>
      </x:fill>
    </x:dxf>
    <x:dxf>
      <x:font>
        <x:b/>
        <x:color rgb="FFA63D40"/>
      </x:font>
      <x:fill>
        <x:patternFill patternType="solid">
          <x:bgColor rgb="FFFBE7E7"/>
        </x:patternFill>
      </x:fill>
    </x:dxf>
    <x:dxf>
      <x:font>
        <x:b/>
        <x:color rgb="FF17324D"/>
      </x:font>
      <x:fill>
        <x:patternFill patternType="solid">
          <x:bgColor rgb="FFE7F0F8"/>
        </x:patternFill>
      </x:fill>
    </x:dxf>
    <x:dxf>
      <x:font>
        <x:b/>
        <x:color rgb="FF2E7D5B"/>
      </x:font>
      <x:fill>
        <x:patternFill patternType="solid">
          <x:bgColor rgb="FFE2F2E9"/>
        </x:patternFill>
      </x:fill>
    </x:dxf>
    <x:dxf>
      <x:font>
        <x:b/>
        <x:color rgb="FFA63D40"/>
      </x:font>
      <x:fill>
        <x:patternFill patternType="solid">
          <x:bgColor rgb="FFFBE7E7"/>
        </x:patternFill>
      </x:fill>
    </x:dxf>
    <x:dxf>
      <x:font>
        <x:b/>
        <x:color rgb="FF17324D"/>
      </x:font>
      <x:fill>
        <x:patternFill patternType="solid">
          <x:bgColor rgb="FFE7F0F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f4bf7c4bb34a75" /><Relationship Type="http://schemas.openxmlformats.org/officeDocument/2006/relationships/theme" Target="/xl/theme/theme1.xml" Id="R1bafbdc1b2584dc0" /><Relationship Type="http://schemas.openxmlformats.org/officeDocument/2006/relationships/sharedStrings" Target="/xl/sharedStrings.xml" Id="Rb0ecba885beb462e" /><Relationship Type="http://schemas.openxmlformats.org/officeDocument/2006/relationships/worksheet" Target="/xl/worksheets/sheet1.xml" Id="R70d3c161792d4bb9" /><Relationship Type="http://schemas.openxmlformats.org/officeDocument/2006/relationships/worksheet" Target="/xl/worksheets/sheet2.xml" Id="R3f7bdd755f274126" /><Relationship Type="http://schemas.openxmlformats.org/officeDocument/2006/relationships/worksheet" Target="/xl/worksheets/sheet3.xml" Id="R14a4186bcc124e0c" /><Relationship Type="http://schemas.openxmlformats.org/officeDocument/2006/relationships/worksheet" Target="/xl/worksheets/sheet4.xml" Id="R76db067b5c4f40b0" /><Relationship Type="http://schemas.openxmlformats.org/officeDocument/2006/relationships/worksheet" Target="/xl/worksheets/sheet5.xml" Id="R0ad401e84ed64605" /><Relationship Type="http://schemas.openxmlformats.org/officeDocument/2006/relationships/worksheet" Target="/xl/worksheets/sheet6.xml" Id="R31ef59ea6ed242cf" /><Relationship Type="http://schemas.openxmlformats.org/officeDocument/2006/relationships/worksheet" Target="/xl/worksheets/sheet7.xml" Id="R601d75e798ba4518" /><Relationship Type="http://schemas.openxmlformats.org/officeDocument/2006/relationships/worksheet" Target="/xl/worksheets/sheet8.xml" Id="R8472b30e7cc54e33" /><Relationship Type="http://schemas.openxmlformats.org/officeDocument/2006/relationships/worksheet" Target="/xl/worksheets/sheet9.xml" Id="R888badd1693c443b" /><Relationship Type="http://schemas.openxmlformats.org/officeDocument/2006/relationships/worksheet" Target="/xl/worksheets/sheet10.xml" Id="R9ec0f859408843a5" /><Relationship Type="http://schemas.openxmlformats.org/officeDocument/2006/relationships/worksheet" Target="/xl/worksheets/sheet11.xml" Id="R7300a6f321ab4f18" /></Relationships>
</file>

<file path=xl/tables/table1.xml><?xml version="1.0" encoding="utf-8"?>
<x:table xmlns:x="http://schemas.openxmlformats.org/spreadsheetml/2006/main" id="1" name="ParticipantsTable" displayName="ParticipantsTable" ref="A4:H204" headerRowCount="1" totalsRowCount="0" totalsRowShown="0">
  <x:autoFilter ref="A4:H204"/>
  <x:tableColumns count="8">
    <x:tableColumn id="1" name="participant_code"/>
    <x:tableColumn id="2" name="grade"/>
    <x:tableColumn id="3" name="age_years"/>
    <x:tableColumn id="4" name="consent_confirmed"/>
    <x:tableColumn id="5" name="consent_date"/>
    <x:tableColumn id="6" name="review_state"/>
    <x:tableColumn id="7" name="collection_notes"/>
    <x:tableColumn id="8" name="is_activ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ssionsTable" displayName="SessionsTable" ref="A4:M204" headerRowCount="1" totalsRowCount="0" totalsRowShown="0">
  <x:autoFilter ref="A4:M204"/>
  <x:tableColumns count="13">
    <x:tableColumn id="1" name="session_id"/>
    <x:tableColumn id="2" name="participant_code"/>
    <x:tableColumn id="3" name="grade"/>
    <x:tableColumn id="4" name="session_date"/>
    <x:tableColumn id="5" name="mode"/>
    <x:tableColumn id="6" name="activity_id"/>
    <x:tableColumn id="7" name="status"/>
    <x:tableColumn id="8" name="review_state"/>
    <x:tableColumn id="9" name="total_attempts"/>
    <x:tableColumn id="10" name="valid_attempts"/>
    <x:tableColumn id="11" name="invalid_attempts"/>
    <x:tableColumn id="12" name="consent_verified"/>
    <x:tableColumn id="13" name="session_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ttemptsTable" displayName="AttemptsTable" ref="A4:BD204" headerRowCount="1" totalsRowCount="0" totalsRowShown="0">
  <x:autoFilter ref="A4:BD204"/>
  <x:tableColumns count="56">
    <x:tableColumn id="1" name="attempt_id"/>
    <x:tableColumn id="2" name="session_id"/>
    <x:tableColumn id="3" name="grade"/>
    <x:tableColumn id="4" name="mode"/>
    <x:tableColumn id="5" name="activity_id"/>
    <x:tableColumn id="6" name="game_type"/>
    <x:tableColumn id="7" name="task_type"/>
    <x:tableColumn id="8" name="task_family"/>
    <x:tableColumn id="9" name="prompt_id"/>
    <x:tableColumn id="10" name="target_text"/>
    <x:tableColumn id="11" name="attempt_no"/>
    <x:tableColumn id="12" name="valid_audio"/>
    <x:tableColumn id="13" name="invalid_reason"/>
    <x:tableColumn id="14" name="server_audio_duration_ms"/>
    <x:tableColumn id="15" name="speech_duration_sec"/>
    <x:tableColumn id="16" name="silence_ratio"/>
    <x:tableColumn id="17" name="pause_count"/>
    <x:tableColumn id="18" name="audio_quality_score"/>
    <x:tableColumn id="19" name="audio_quality_label"/>
    <x:tableColumn id="20" name="word_reading_target_word"/>
    <x:tableColumn id="21" name="word_reading_asr_text"/>
    <x:tableColumn id="22" name="word_reading_correct"/>
    <x:tableColumn id="23" name="word_reading_edit_distance"/>
    <x:tableColumn id="24" name="word_reading_similarity_score"/>
    <x:tableColumn id="25" name="character_error_rate"/>
    <x:tableColumn id="26" name="word_error_rate"/>
    <x:tableColumn id="27" name="possible_error"/>
    <x:tableColumn id="28" name="phoneme_status"/>
    <x:tableColumn id="29" name="target_phonemes"/>
    <x:tableColumn id="30" name="asr_phonemes"/>
    <x:tableColumn id="31" name="phoneme_edit_distance"/>
    <x:tableColumn id="32" name="phoneme_error_rate"/>
    <x:tableColumn id="33" name="phoneme_initial_sound_error"/>
    <x:tableColumn id="34" name="phoneme_final_sound_error"/>
    <x:tableColumn id="35" name="phoneme_vowel_mismatch"/>
    <x:tableColumn id="36" name="phoneme_consonant_cluster_error"/>
    <x:tableColumn id="37" name="phoneme_deletion_count"/>
    <x:tableColumn id="38" name="phoneme_insertion_count"/>
    <x:tableColumn id="39" name="phoneme_substitution_count"/>
    <x:tableColumn id="40" name="phoneme_error_pattern"/>
    <x:tableColumn id="41" name="phoneme_confidence"/>
    <x:tableColumn id="42" name="phoneme_warnings"/>
    <x:tableColumn id="43" name="pronunciation_model_prediction"/>
    <x:tableColumn id="44" name="pronunciation_model_score"/>
    <x:tableColumn id="45" name="stars_earned"/>
    <x:tableColumn id="46" name="manual_item_correct"/>
    <x:tableColumn id="47" name="manual_teacher_transcript"/>
    <x:tableColumn id="48" name="manual_error_type"/>
    <x:tableColumn id="49" name="speech_support_label"/>
    <x:tableColumn id="50" name="label_confidence"/>
    <x:tableColumn id="51" name="label_notes"/>
    <x:tableColumn id="52" name="labelled_by"/>
    <x:tableColumn id="53" name="labelled_at"/>
    <x:tableColumn id="54" name="created_at"/>
    <x:tableColumn id="55" name="participant_code"/>
    <x:tableColumn id="56" name="is_dummy_da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xpertLabelsTable" displayName="ExpertLabelsTable" ref="A4:I204" headerRowCount="1" totalsRowCount="0" totalsRowShown="0">
  <x:autoFilter ref="A4:I204"/>
  <x:tableColumns count="9">
    <x:tableColumn id="1" name="label_id"/>
    <x:tableColumn id="2" name="session_id"/>
    <x:tableColumn id="3" name="participant_code"/>
    <x:tableColumn id="4" name="speech_support_label"/>
    <x:tableColumn id="5" name="label_confidence"/>
    <x:tableColumn id="6" name="review_state"/>
    <x:tableColumn id="7" name="labelled_by_role"/>
    <x:tableColumn id="8" name="labelled_at"/>
    <x:tableColumn id="9" name="label_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ssionTrainingDataTable" displayName="SessionTrainingDataTable" ref="A4:AG204" headerRowCount="1" totalsRowCount="0" totalsRowShown="0">
  <x:autoFilter ref="A4:AG204"/>
  <x:tableColumns count="33">
    <x:tableColumn id="1" name="session_id"/>
    <x:tableColumn id="2" name="grade"/>
    <x:tableColumn id="3" name="mode"/>
    <x:tableColumn id="4" name="activity_id"/>
    <x:tableColumn id="5" name="status"/>
    <x:tableColumn id="6" name="total_attempts"/>
    <x:tableColumn id="7" name="valid_attempts"/>
    <x:tableColumn id="8" name="invalid_attempts"/>
    <x:tableColumn id="9" name="retry_rate"/>
    <x:tableColumn id="10" name="word_accuracy"/>
    <x:tableColumn id="11" name="pseudoword_accuracy"/>
    <x:tableColumn id="12" name="sentence_accuracy"/>
    <x:tableColumn id="13" name="mean_character_error_rate"/>
    <x:tableColumn id="14" name="mean_word_error_rate"/>
    <x:tableColumn id="15" name="mean_partial_match_score"/>
    <x:tableColumn id="16" name="mean_phoneme_error_rate"/>
    <x:tableColumn id="17" name="initial_sound_error_rate"/>
    <x:tableColumn id="18" name="final_sound_error_rate"/>
    <x:tableColumn id="19" name="vowel_mismatch_rate"/>
    <x:tableColumn id="20" name="consonant_cluster_error_rate"/>
    <x:tableColumn id="21" name="common_phoneme_error_pattern"/>
    <x:tableColumn id="22" name="mean_speech_duration_sec"/>
    <x:tableColumn id="23" name="mean_pause_count"/>
    <x:tableColumn id="24" name="mean_audio_quality_score"/>
    <x:tableColumn id="25" name="mean_pronunciation_model_score"/>
    <x:tableColumn id="26" name="labelled_attempt_count"/>
    <x:tableColumn id="27" name="speech_support_label"/>
    <x:tableColumn id="28" name="label_confidence"/>
    <x:tableColumn id="29" name="dataset_ready"/>
    <x:tableColumn id="30" name="created_at"/>
    <x:tableColumn id="31" name="completed_at"/>
    <x:tableColumn id="32" name="participant_code"/>
    <x:tableColumn id="33" name="is_dummy_data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ummyAttemptsTable" displayName="DummyAttemptsTable" ref="A4:BF28" headerRowCount="1" totalsRowCount="0" totalsRowShown="0">
  <x:autoFilter ref="A4:BF28"/>
  <x:tableColumns count="58">
    <x:tableColumn id="1" name="attempt_id"/>
    <x:tableColumn id="2" name="session_id"/>
    <x:tableColumn id="3" name="student_id"/>
    <x:tableColumn id="4" name="student_username"/>
    <x:tableColumn id="5" name="grade"/>
    <x:tableColumn id="6" name="mode"/>
    <x:tableColumn id="7" name="activity_id"/>
    <x:tableColumn id="8" name="game_type"/>
    <x:tableColumn id="9" name="task_type"/>
    <x:tableColumn id="10" name="task_family"/>
    <x:tableColumn id="11" name="prompt_id"/>
    <x:tableColumn id="12" name="target_text"/>
    <x:tableColumn id="13" name="attempt_no"/>
    <x:tableColumn id="14" name="valid_audio"/>
    <x:tableColumn id="15" name="invalid_reason"/>
    <x:tableColumn id="16" name="server_audio_duration_ms"/>
    <x:tableColumn id="17" name="speech_duration_sec"/>
    <x:tableColumn id="18" name="silence_ratio"/>
    <x:tableColumn id="19" name="pause_count"/>
    <x:tableColumn id="20" name="audio_quality_score"/>
    <x:tableColumn id="21" name="audio_quality_label"/>
    <x:tableColumn id="22" name="word_reading_target_word"/>
    <x:tableColumn id="23" name="word_reading_asr_text"/>
    <x:tableColumn id="24" name="word_reading_correct"/>
    <x:tableColumn id="25" name="word_reading_edit_distance"/>
    <x:tableColumn id="26" name="word_reading_similarity_score"/>
    <x:tableColumn id="27" name="character_error_rate"/>
    <x:tableColumn id="28" name="word_error_rate"/>
    <x:tableColumn id="29" name="possible_error"/>
    <x:tableColumn id="30" name="phoneme_status"/>
    <x:tableColumn id="31" name="target_phonemes"/>
    <x:tableColumn id="32" name="asr_phonemes"/>
    <x:tableColumn id="33" name="phoneme_edit_distance"/>
    <x:tableColumn id="34" name="phoneme_error_rate"/>
    <x:tableColumn id="35" name="phoneme_initial_sound_error"/>
    <x:tableColumn id="36" name="phoneme_final_sound_error"/>
    <x:tableColumn id="37" name="phoneme_vowel_mismatch"/>
    <x:tableColumn id="38" name="phoneme_consonant_cluster_error"/>
    <x:tableColumn id="39" name="phoneme_deletion_count"/>
    <x:tableColumn id="40" name="phoneme_insertion_count"/>
    <x:tableColumn id="41" name="phoneme_substitution_count"/>
    <x:tableColumn id="42" name="phoneme_error_pattern"/>
    <x:tableColumn id="43" name="phoneme_confidence"/>
    <x:tableColumn id="44" name="phoneme_warnings"/>
    <x:tableColumn id="45" name="pronunciation_model_prediction"/>
    <x:tableColumn id="46" name="pronunciation_model_score"/>
    <x:tableColumn id="47" name="stars_earned"/>
    <x:tableColumn id="48" name="manual_item_correct"/>
    <x:tableColumn id="49" name="manual_teacher_transcript"/>
    <x:tableColumn id="50" name="manual_error_type"/>
    <x:tableColumn id="51" name="speech_support_label"/>
    <x:tableColumn id="52" name="label_confidence"/>
    <x:tableColumn id="53" name="label_notes"/>
    <x:tableColumn id="54" name="labelled_by"/>
    <x:tableColumn id="55" name="labelled_at"/>
    <x:tableColumn id="56" name="created_at"/>
    <x:tableColumn id="57" name="participant_code"/>
    <x:tableColumn id="58" name="is_dummy_data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ummySessionsTable" displayName="DummySessionsTable" ref="A4:AG16" headerRowCount="1" totalsRowCount="0" totalsRowShown="0">
  <x:autoFilter ref="A4:AG16"/>
  <x:tableColumns count="33">
    <x:tableColumn id="1" name="session_id"/>
    <x:tableColumn id="2" name="grade"/>
    <x:tableColumn id="3" name="mode"/>
    <x:tableColumn id="4" name="activity_id"/>
    <x:tableColumn id="5" name="status"/>
    <x:tableColumn id="6" name="total_attempts"/>
    <x:tableColumn id="7" name="valid_attempts"/>
    <x:tableColumn id="8" name="invalid_attempts"/>
    <x:tableColumn id="9" name="retry_rate"/>
    <x:tableColumn id="10" name="word_accuracy"/>
    <x:tableColumn id="11" name="pseudoword_accuracy"/>
    <x:tableColumn id="12" name="sentence_accuracy"/>
    <x:tableColumn id="13" name="mean_character_error_rate"/>
    <x:tableColumn id="14" name="mean_word_error_rate"/>
    <x:tableColumn id="15" name="mean_partial_match_score"/>
    <x:tableColumn id="16" name="mean_phoneme_error_rate"/>
    <x:tableColumn id="17" name="initial_sound_error_rate"/>
    <x:tableColumn id="18" name="final_sound_error_rate"/>
    <x:tableColumn id="19" name="vowel_mismatch_rate"/>
    <x:tableColumn id="20" name="consonant_cluster_error_rate"/>
    <x:tableColumn id="21" name="common_phoneme_error_pattern"/>
    <x:tableColumn id="22" name="mean_speech_duration_sec"/>
    <x:tableColumn id="23" name="mean_pause_count"/>
    <x:tableColumn id="24" name="mean_audio_quality_score"/>
    <x:tableColumn id="25" name="mean_pronunciation_model_score"/>
    <x:tableColumn id="26" name="labelled_attempt_count"/>
    <x:tableColumn id="27" name="speech_support_label"/>
    <x:tableColumn id="28" name="label_confidence"/>
    <x:tableColumn id="29" name="dataset_ready"/>
    <x:tableColumn id="30" name="created_at"/>
    <x:tableColumn id="31" name="completed_at"/>
    <x:tableColumn id="32" name="participant_code"/>
    <x:tableColumn id="33" name="is_dummy_data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FeatureDictionaryTable" displayName="FeatureDictionaryTable" ref="A4:I123" headerRowCount="1" totalsRowCount="0" totalsRowShown="0">
  <x:autoFilter ref="A4:I123"/>
  <x:tableColumns count="9">
    <x:tableColumn id="1" name="sheet"/>
    <x:tableColumn id="2" name="field_name"/>
    <x:tableColumn id="3" name="definition"/>
    <x:tableColumn id="4" name="data_type"/>
    <x:tableColumn id="5" name="required"/>
    <x:tableColumn id="6" name="allowed_values_or_range"/>
    <x:tableColumn id="7" name="role"/>
    <x:tableColumn id="8" name="source_or_derivation"/>
    <x:tableColumn id="9" name="training_us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QualityChecksTable" displayName="QualityChecksTable" ref="A8:E47" headerRowCount="1" totalsRowCount="0" totalsRowShown="0">
  <x:tableColumns count="5">
    <x:tableColumn id="1" name="area"/>
    <x:tableColumn id="2" name="quality_check"/>
    <x:tableColumn id="3" name="formula_result"/>
    <x:tableColumn id="4" name="status"/>
    <x:tableColumn id="5" name="acceptance_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0a91b165c140e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3d39618f309493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5122bbb5c254aa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e2caca5d54e4d8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b740e583f844c7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0822426b212445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4a1cc72b1c345b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9173cb4111d4ce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08cbfc7bbdf24f9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  <x:selection pane="bottomLeft" activeCell="A3" sqref="A3"/>
    </x:sheetView>
  </x:sheetViews>
  <x:sheetFormatPr defaultRowHeight="15"/>
  <x:cols>
    <x:col min="1" max="1" width="26" hidden="0" customWidth="1"/>
    <x:col min="2" max="2" width="18" hidden="0" customWidth="1"/>
    <x:col min="3" max="3" width="6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3" t="str">
        <x:v>LexiLand Final Speech Model Data Collection Workbook</x:v>
      </x:c>
      <x:c r="B1" s="3"/>
      <x:c r="C1" s="3"/>
      <x:c r="D1" s="3"/>
      <x:c r="E1" s="3"/>
      <x:c r="F1" s="3"/>
      <x:c r="G1" s="3"/>
      <x:c r="H1" s="3"/>
    </x:row>
    <x:row r="2" ht="32" customHeight="1">
      <x:c r="A2" s="7" t="str">
        <x:v>Validated template for de-identified repeated-session speech research. Version 1.0 | 2026-08-10</x:v>
      </x:c>
      <x:c r="B2" s="7"/>
      <x:c r="C2" s="7"/>
      <x:c r="D2" s="7"/>
      <x:c r="E2" s="7"/>
      <x:c r="F2" s="7"/>
      <x:c r="G2" s="7"/>
      <x:c r="H2" s="7"/>
    </x:row>
    <x:row r="4" ht="38" customHeight="1">
      <x:c r="A4" s="14" t="str">
        <x:v>Purpose</x:v>
      </x:c>
      <x:c r="B4" s="15" t="str">
        <x:v>Collect auditable attempt, session, and expert-label data for the final session-level speech-support classifier.</x:v>
      </x:c>
      <x:c r="C4" s="15"/>
      <x:c r="D4" s="15"/>
      <x:c r="E4" s="15"/>
      <x:c r="F4" s="15"/>
      <x:c r="G4" s="15"/>
      <x:c r="H4" s="16"/>
    </x:row>
    <x:row r="5" ht="38" customHeight="1">
      <x:c r="A5" s="17" t="str">
        <x:v>Privacy rule</x:v>
      </x:c>
      <x:c r="B5" s="13" t="str">
        <x:v>Use participant_code only. Do not enter names, emails, phone numbers, addresses, student usernames, or guardian contacts.</x:v>
      </x:c>
      <x:c r="C5" s="13"/>
      <x:c r="D5" s="13"/>
      <x:c r="E5" s="13"/>
      <x:c r="F5" s="13"/>
      <x:c r="G5" s="13"/>
      <x:c r="H5" s="18"/>
    </x:row>
    <x:row r="6" ht="38" customHeight="1">
      <x:c r="A6" s="17" t="str">
        <x:v>Consent rule</x:v>
      </x:c>
      <x:c r="B6" s="13" t="str">
        <x:v>Collect data only after consent_confirmed=yes. Quality Checks reports every populated participant without confirmed consent.</x:v>
      </x:c>
      <x:c r="C6" s="13"/>
      <x:c r="D6" s="13"/>
      <x:c r="E6" s="13"/>
      <x:c r="F6" s="13"/>
      <x:c r="G6" s="13"/>
      <x:c r="H6" s="18"/>
    </x:row>
    <x:row r="7" ht="38" customHeight="1">
      <x:c r="A7" s="17" t="str">
        <x:v>Repeated sessions</x:v>
      </x:c>
      <x:c r="B7" s="13" t="str">
        <x:v>A participant may have multiple sessions. Model evaluation must split by participant_code so one child never appears in both train and test partitions.</x:v>
      </x:c>
      <x:c r="C7" s="13"/>
      <x:c r="D7" s="13"/>
      <x:c r="E7" s="13"/>
      <x:c r="F7" s="13"/>
      <x:c r="G7" s="13"/>
      <x:c r="H7" s="18"/>
    </x:row>
    <x:row r="8" ht="38" customHeight="1">
      <x:c r="A8" s="17" t="str">
        <x:v>Trainable labels</x:v>
      </x:c>
      <x:c r="B8" s="13" t="str">
        <x:v>Only low_support, medium_support, and high_support are trainable. Keep needs_review outside training until adjudicated.</x:v>
      </x:c>
      <x:c r="C8" s="13"/>
      <x:c r="D8" s="13"/>
      <x:c r="E8" s="13"/>
      <x:c r="F8" s="13"/>
      <x:c r="G8" s="13"/>
      <x:c r="H8" s="18"/>
    </x:row>
    <x:row r="9" ht="38" customHeight="1">
      <x:c r="A9" s="17" t="str">
        <x:v>Minimum volume</x:v>
      </x:c>
      <x:c r="B9" s="13" t="str">
        <x:v>The current trainer requires at least 30 labelled session rows, at least two participants, and at least two classes; this workbook additionally shows all three class counts.</x:v>
      </x:c>
      <x:c r="C9" s="13"/>
      <x:c r="D9" s="13"/>
      <x:c r="E9" s="13"/>
      <x:c r="F9" s="13"/>
      <x:c r="G9" s="13"/>
      <x:c r="H9" s="18"/>
    </x:row>
    <x:row r="10" ht="38" customHeight="1">
      <x:c r="A10" s="17" t="str">
        <x:v>Dummy safety</x:v>
      </x:c>
      <x:c r="B10" s="13" t="str">
        <x:v>Dummy Attempts and Dummy Sessions contain structural examples only. Never train, evaluate, or report performance from those rows.</x:v>
      </x:c>
      <x:c r="C10" s="13"/>
      <x:c r="D10" s="13"/>
      <x:c r="E10" s="13"/>
      <x:c r="F10" s="13"/>
      <x:c r="G10" s="13"/>
      <x:c r="H10" s="18"/>
    </x:row>
    <x:row r="11" ht="38" customHeight="1">
      <x:c r="A11" s="19" t="str">
        <x:v>Recommended flow</x:v>
      </x:c>
      <x:c r="B11" s="20" t="str">
        <x:v>1) Register participant code and consent. 2) Record sessions. 3) import or enter attempts. 4) Add expert labels. 5) prepare Session Training Data. 6) resolve every Quality Checks action.</x:v>
      </x:c>
      <x:c r="C11" s="20"/>
      <x:c r="D11" s="20"/>
      <x:c r="E11" s="20"/>
      <x:c r="F11" s="20"/>
      <x:c r="G11" s="20"/>
      <x:c r="H11" s="21"/>
    </x:row>
    <x:row r="13">
      <x:c r="A13" s="22" t="str">
        <x:v>Workbook color legend</x:v>
      </x:c>
      <x:c r="B13" s="22"/>
      <x:c r="C13" s="22"/>
      <x:c r="D13" s="22"/>
      <x:c r="E13" s="22"/>
      <x:c r="F13" s="22"/>
      <x:c r="G13" s="22"/>
      <x:c r="H13" s="22"/>
    </x:row>
    <x:row r="14" ht="38" customHeight="1">
      <x:c r="A14" s="28" t="str">
        <x:v>Identifier</x:v>
      </x:c>
      <x:c r="B14" s="29" t="str">
        <x:v>Anonymous linkage keys</x:v>
      </x:c>
      <x:c r="C14" s="30" t="str">
        <x:v>Required input</x:v>
      </x:c>
      <x:c r="D14" s="29" t="str">
        <x:v>Collector-entered required values</x:v>
      </x:c>
      <x:c r="E14" s="31" t="str">
        <x:v>Calculated</x:v>
      </x:c>
      <x:c r="F14" s="29" t="str">
        <x:v>Measured or exported fields</x:v>
      </x:c>
      <x:c r="G14" s="32" t="str">
        <x:v>Label / review</x:v>
      </x:c>
      <x:c r="H14" s="29" t="str">
        <x:v>Expert judgement fields</x:v>
      </x:c>
    </x:row>
    <x:row r="16">
      <x:c r="A16" s="22" t="str">
        <x:v>Sheet inventory</x:v>
      </x:c>
      <x:c r="B16" s="22"/>
      <x:c r="C16" s="22"/>
      <x:c r="D16" s="22"/>
      <x:c r="E16" s="22"/>
      <x:c r="F16" s="22"/>
      <x:c r="G16" s="22"/>
      <x:c r="H16" s="22"/>
    </x:row>
    <x:row r="17" ht="32" customHeight="1">
      <x:c r="A17" s="45" t="str">
        <x:v>Participants</x:v>
      </x:c>
      <x:c r="B17" s="46" t="str">
        <x:v>Real entry</x:v>
      </x:c>
      <x:c r="C17" s="47" t="str">
        <x:v>Anonymous participant and consent register.</x:v>
      </x:c>
    </x:row>
    <x:row r="18" ht="32" customHeight="1">
      <x:c r="A18" s="48" t="str">
        <x:v>Sessions</x:v>
      </x:c>
      <x:c r="B18" s="49" t="str">
        <x:v>Real entry</x:v>
      </x:c>
      <x:c r="C18" s="50" t="str">
        <x:v>One row per collection session.</x:v>
      </x:c>
    </x:row>
    <x:row r="19" ht="32" customHeight="1">
      <x:c r="A19" s="48" t="str">
        <x:v>Attempts</x:v>
      </x:c>
      <x:c r="B19" s="49" t="str">
        <x:v>Real entry</x:v>
      </x:c>
      <x:c r="C19" s="50" t="str">
        <x:v>De-identified attempt-level evidence; direct backend identity fields are intentionally omitted.</x:v>
      </x:c>
    </x:row>
    <x:row r="20" ht="32" customHeight="1">
      <x:c r="A20" s="48" t="str">
        <x:v>Expert Labels</x:v>
      </x:c>
      <x:c r="B20" s="49" t="str">
        <x:v>Real entry</x:v>
      </x:c>
      <x:c r="C20" s="50" t="str">
        <x:v>Expert support labels and adjudication state.</x:v>
      </x:c>
    </x:row>
    <x:row r="21" ht="32" customHeight="1">
      <x:c r="A21" s="48" t="str">
        <x:v>Session Training Data</x:v>
      </x:c>
      <x:c r="B21" s="49" t="str">
        <x:v>Real output</x:v>
      </x:c>
      <x:c r="C21" s="50" t="str">
        <x:v>Trainer-approved de-identified session schema; keep dummy marker at 0.</x:v>
      </x:c>
    </x:row>
    <x:row r="22" ht="32" customHeight="1">
      <x:c r="A22" s="48" t="str">
        <x:v>Dummy Attempts / Sessions</x:v>
      </x:c>
      <x:c r="B22" s="49" t="str">
        <x:v>Examples only</x:v>
      </x:c>
      <x:c r="C22" s="50" t="str">
        <x:v>Reviewed Task 2 CSV rows, isolated and visibly marked.</x:v>
      </x:c>
    </x:row>
    <x:row r="23" ht="32" customHeight="1">
      <x:c r="A23" s="48" t="str">
        <x:v>Feature Dictionary</x:v>
      </x:c>
      <x:c r="B23" s="49" t="str">
        <x:v>Reference</x:v>
      </x:c>
      <x:c r="C23" s="50" t="str">
        <x:v>Field definitions, types, allowed values, roles, and training use.</x:v>
      </x:c>
    </x:row>
    <x:row r="24" ht="32" customHeight="1">
      <x:c r="A24" s="48" t="str">
        <x:v>Code Lists</x:v>
      </x:c>
      <x:c r="B24" s="49" t="str">
        <x:v>Reference</x:v>
      </x:c>
      <x:c r="C24" s="50" t="str">
        <x:v>Controlled values used by dropdown validations.</x:v>
      </x:c>
    </x:row>
    <x:row r="25" ht="32" customHeight="1">
      <x:c r="A25" s="51" t="str">
        <x:v>Quality Checks</x:v>
      </x:c>
      <x:c r="B25" s="52" t="str">
        <x:v>Quality control</x:v>
      </x:c>
      <x:c r="C25" s="53" t="str">
        <x:v>Formula-driven completeness, privacy, linkage, distribution, and readiness checks.</x:v>
      </x:c>
    </x:row>
  </x:sheetData>
  <x:mergeCells>
    <x:mergeCell ref="A1:H1"/>
    <x:mergeCell ref="A2:H2"/>
    <x:mergeCell ref="B4:H4"/>
    <x:mergeCell ref="B5:H5"/>
    <x:mergeCell ref="B6:H6"/>
    <x:mergeCell ref="B7:H7"/>
    <x:mergeCell ref="B8:H8"/>
    <x:mergeCell ref="B9:H9"/>
    <x:mergeCell ref="B10:H10"/>
    <x:mergeCell ref="B11:H11"/>
    <x:mergeCell ref="A13:H13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  <x:selection pane="topRight" activeCell="C1" sqref="C1"/>
      <x:selection pane="bottomLeft" activeCell="A5" sqref="A5"/>
      <x:selection pane="bottomRight" activeCell="C5" sqref="C5"/>
    </x:sheetView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9" hidden="0" customWidth="1"/>
    <x:col min="6" max="6" width="18" hidden="0" customWidth="1"/>
    <x:col min="7" max="7" width="30" hidden="0" customWidth="1"/>
    <x:col min="8" max="8" width="15" hidden="0" customWidth="1"/>
  </x:cols>
  <x:sheetData>
    <x:row r="1" ht="30" customHeight="1">
      <x:c r="A1" s="3" t="str">
        <x:v>Participants</x:v>
      </x:c>
      <x:c r="B1" s="3"/>
      <x:c r="C1" s="3"/>
      <x:c r="D1" s="3"/>
      <x:c r="E1" s="3"/>
      <x:c r="F1" s="3"/>
      <x:c r="G1" s="3"/>
      <x:c r="H1" s="3"/>
    </x:row>
    <x:row r="2" ht="32" customHeight="1">
      <x:c r="A2" s="7" t="str">
        <x:v>REAL ENTRY - anonymous participant and consent register. Do not enter direct personal identifiers.</x:v>
      </x:c>
      <x:c r="B2" s="7"/>
      <x:c r="C2" s="7"/>
      <x:c r="D2" s="7"/>
      <x:c r="E2" s="7"/>
      <x:c r="F2" s="7"/>
      <x:c r="G2" s="7"/>
      <x:c r="H2" s="7"/>
    </x:row>
    <x:row r="4" ht="46" customHeight="1">
      <x:c r="A4" s="67" t="str">
        <x:v>participant_code</x:v>
      </x:c>
      <x:c r="B4" s="71" t="str">
        <x:v>grade</x:v>
      </x:c>
      <x:c r="C4" s="71" t="str">
        <x:v>age_years</x:v>
      </x:c>
      <x:c r="D4" s="71" t="str">
        <x:v>consent_confirmed</x:v>
      </x:c>
      <x:c r="E4" s="75" t="str">
        <x:v>consent_date</x:v>
      </x:c>
      <x:c r="F4" s="79" t="str">
        <x:v>review_state</x:v>
      </x:c>
      <x:c r="G4" s="75" t="str">
        <x:v>collection_notes</x:v>
      </x:c>
      <x:c r="H4" s="75" t="str">
        <x:v>is_active</x:v>
      </x:c>
    </x:row>
    <x:row r="5">
      <x:c r="A5" s="80"/>
      <x:c r="B5" s="25"/>
      <x:c r="C5" s="81"/>
      <x:c r="D5" s="25"/>
      <x:c r="E5" s="82"/>
      <x:c r="F5" s="27"/>
      <x:c r="G5" s="24"/>
      <x:c r="H5" s="83"/>
    </x:row>
    <x:row r="6">
      <x:c r="A6" s="80"/>
      <x:c r="B6" s="25"/>
      <x:c r="C6" s="81"/>
      <x:c r="D6" s="25"/>
      <x:c r="E6" s="82"/>
      <x:c r="F6" s="27"/>
      <x:c r="G6" s="24"/>
      <x:c r="H6" s="83"/>
    </x:row>
    <x:row r="7">
      <x:c r="A7" s="80"/>
      <x:c r="B7" s="25"/>
      <x:c r="C7" s="81"/>
      <x:c r="D7" s="25"/>
      <x:c r="E7" s="82"/>
      <x:c r="F7" s="27"/>
      <x:c r="G7" s="24"/>
      <x:c r="H7" s="83"/>
    </x:row>
    <x:row r="8">
      <x:c r="A8" s="80"/>
      <x:c r="B8" s="25"/>
      <x:c r="C8" s="81"/>
      <x:c r="D8" s="25"/>
      <x:c r="E8" s="82"/>
      <x:c r="F8" s="27"/>
      <x:c r="G8" s="24"/>
      <x:c r="H8" s="83"/>
    </x:row>
    <x:row r="9">
      <x:c r="A9" s="80"/>
      <x:c r="B9" s="25"/>
      <x:c r="C9" s="81"/>
      <x:c r="D9" s="25"/>
      <x:c r="E9" s="82"/>
      <x:c r="F9" s="27"/>
      <x:c r="G9" s="24"/>
      <x:c r="H9" s="83"/>
    </x:row>
    <x:row r="10">
      <x:c r="A10" s="80"/>
      <x:c r="B10" s="25"/>
      <x:c r="C10" s="81"/>
      <x:c r="D10" s="25"/>
      <x:c r="E10" s="82"/>
      <x:c r="F10" s="27"/>
      <x:c r="G10" s="24"/>
      <x:c r="H10" s="83"/>
    </x:row>
    <x:row r="11">
      <x:c r="A11" s="80"/>
      <x:c r="B11" s="25"/>
      <x:c r="C11" s="81"/>
      <x:c r="D11" s="25"/>
      <x:c r="E11" s="82"/>
      <x:c r="F11" s="27"/>
      <x:c r="G11" s="24"/>
      <x:c r="H11" s="83"/>
    </x:row>
    <x:row r="12">
      <x:c r="A12" s="80"/>
      <x:c r="B12" s="25"/>
      <x:c r="C12" s="81"/>
      <x:c r="D12" s="25"/>
      <x:c r="E12" s="82"/>
      <x:c r="F12" s="27"/>
      <x:c r="G12" s="24"/>
      <x:c r="H12" s="83"/>
    </x:row>
    <x:row r="13">
      <x:c r="A13" s="80"/>
      <x:c r="B13" s="25"/>
      <x:c r="C13" s="81"/>
      <x:c r="D13" s="25"/>
      <x:c r="E13" s="82"/>
      <x:c r="F13" s="27"/>
      <x:c r="G13" s="24"/>
      <x:c r="H13" s="83"/>
    </x:row>
    <x:row r="14">
      <x:c r="A14" s="80"/>
      <x:c r="B14" s="25"/>
      <x:c r="C14" s="81"/>
      <x:c r="D14" s="25"/>
      <x:c r="E14" s="82"/>
      <x:c r="F14" s="27"/>
      <x:c r="G14" s="24"/>
      <x:c r="H14" s="83"/>
    </x:row>
    <x:row r="15">
      <x:c r="A15" s="80"/>
      <x:c r="B15" s="25"/>
      <x:c r="C15" s="81"/>
      <x:c r="D15" s="25"/>
      <x:c r="E15" s="82"/>
      <x:c r="F15" s="27"/>
      <x:c r="G15" s="24"/>
      <x:c r="H15" s="83"/>
    </x:row>
    <x:row r="16">
      <x:c r="A16" s="80"/>
      <x:c r="B16" s="25"/>
      <x:c r="C16" s="81"/>
      <x:c r="D16" s="25"/>
      <x:c r="E16" s="82"/>
      <x:c r="F16" s="27"/>
      <x:c r="G16" s="24"/>
      <x:c r="H16" s="83"/>
    </x:row>
    <x:row r="17">
      <x:c r="A17" s="80"/>
      <x:c r="B17" s="25"/>
      <x:c r="C17" s="81"/>
      <x:c r="D17" s="25"/>
      <x:c r="E17" s="82"/>
      <x:c r="F17" s="27"/>
      <x:c r="G17" s="24"/>
      <x:c r="H17" s="83"/>
    </x:row>
    <x:row r="18">
      <x:c r="A18" s="80"/>
      <x:c r="B18" s="25"/>
      <x:c r="C18" s="81"/>
      <x:c r="D18" s="25"/>
      <x:c r="E18" s="82"/>
      <x:c r="F18" s="27"/>
      <x:c r="G18" s="24"/>
      <x:c r="H18" s="83"/>
    </x:row>
    <x:row r="19">
      <x:c r="A19" s="80"/>
      <x:c r="B19" s="25"/>
      <x:c r="C19" s="81"/>
      <x:c r="D19" s="25"/>
      <x:c r="E19" s="82"/>
      <x:c r="F19" s="27"/>
      <x:c r="G19" s="24"/>
      <x:c r="H19" s="83"/>
    </x:row>
    <x:row r="20">
      <x:c r="A20" s="80"/>
      <x:c r="B20" s="25"/>
      <x:c r="C20" s="81"/>
      <x:c r="D20" s="25"/>
      <x:c r="E20" s="82"/>
      <x:c r="F20" s="27"/>
      <x:c r="G20" s="24"/>
      <x:c r="H20" s="83"/>
    </x:row>
    <x:row r="21">
      <x:c r="A21" s="80"/>
      <x:c r="B21" s="25"/>
      <x:c r="C21" s="81"/>
      <x:c r="D21" s="25"/>
      <x:c r="E21" s="82"/>
      <x:c r="F21" s="27"/>
      <x:c r="G21" s="24"/>
      <x:c r="H21" s="83"/>
    </x:row>
    <x:row r="22">
      <x:c r="A22" s="80"/>
      <x:c r="B22" s="25"/>
      <x:c r="C22" s="81"/>
      <x:c r="D22" s="25"/>
      <x:c r="E22" s="82"/>
      <x:c r="F22" s="27"/>
      <x:c r="G22" s="24"/>
      <x:c r="H22" s="83"/>
    </x:row>
    <x:row r="23">
      <x:c r="A23" s="80"/>
      <x:c r="B23" s="25"/>
      <x:c r="C23" s="81"/>
      <x:c r="D23" s="25"/>
      <x:c r="E23" s="82"/>
      <x:c r="F23" s="27"/>
      <x:c r="G23" s="24"/>
      <x:c r="H23" s="83"/>
    </x:row>
    <x:row r="24">
      <x:c r="A24" s="80"/>
      <x:c r="B24" s="25"/>
      <x:c r="C24" s="81"/>
      <x:c r="D24" s="25"/>
      <x:c r="E24" s="82"/>
      <x:c r="F24" s="27"/>
      <x:c r="G24" s="24"/>
      <x:c r="H24" s="83"/>
    </x:row>
    <x:row r="25">
      <x:c r="A25" s="80"/>
      <x:c r="B25" s="25"/>
      <x:c r="C25" s="81"/>
      <x:c r="D25" s="25"/>
      <x:c r="E25" s="82"/>
      <x:c r="F25" s="27"/>
      <x:c r="G25" s="24"/>
      <x:c r="H25" s="83"/>
    </x:row>
    <x:row r="26">
      <x:c r="A26" s="80"/>
      <x:c r="B26" s="25"/>
      <x:c r="C26" s="81"/>
      <x:c r="D26" s="25"/>
      <x:c r="E26" s="82"/>
      <x:c r="F26" s="27"/>
      <x:c r="G26" s="24"/>
      <x:c r="H26" s="83"/>
    </x:row>
    <x:row r="27">
      <x:c r="A27" s="80"/>
      <x:c r="B27" s="25"/>
      <x:c r="C27" s="81"/>
      <x:c r="D27" s="25"/>
      <x:c r="E27" s="82"/>
      <x:c r="F27" s="27"/>
      <x:c r="G27" s="24"/>
      <x:c r="H27" s="83"/>
    </x:row>
    <x:row r="28">
      <x:c r="A28" s="80"/>
      <x:c r="B28" s="25"/>
      <x:c r="C28" s="81"/>
      <x:c r="D28" s="25"/>
      <x:c r="E28" s="82"/>
      <x:c r="F28" s="27"/>
      <x:c r="G28" s="24"/>
      <x:c r="H28" s="83"/>
    </x:row>
    <x:row r="29">
      <x:c r="A29" s="80"/>
      <x:c r="B29" s="25"/>
      <x:c r="C29" s="81"/>
      <x:c r="D29" s="25"/>
      <x:c r="E29" s="82"/>
      <x:c r="F29" s="27"/>
      <x:c r="G29" s="24"/>
      <x:c r="H29" s="83"/>
    </x:row>
    <x:row r="30">
      <x:c r="A30" s="80"/>
      <x:c r="B30" s="25"/>
      <x:c r="C30" s="81"/>
      <x:c r="D30" s="25"/>
      <x:c r="E30" s="82"/>
      <x:c r="F30" s="27"/>
      <x:c r="G30" s="24"/>
      <x:c r="H30" s="83"/>
    </x:row>
    <x:row r="31">
      <x:c r="A31" s="80"/>
      <x:c r="B31" s="25"/>
      <x:c r="C31" s="81"/>
      <x:c r="D31" s="25"/>
      <x:c r="E31" s="82"/>
      <x:c r="F31" s="27"/>
      <x:c r="G31" s="24"/>
      <x:c r="H31" s="83"/>
    </x:row>
    <x:row r="32">
      <x:c r="A32" s="80"/>
      <x:c r="B32" s="25"/>
      <x:c r="C32" s="81"/>
      <x:c r="D32" s="25"/>
      <x:c r="E32" s="82"/>
      <x:c r="F32" s="27"/>
      <x:c r="G32" s="24"/>
      <x:c r="H32" s="83"/>
    </x:row>
    <x:row r="33">
      <x:c r="A33" s="80"/>
      <x:c r="B33" s="25"/>
      <x:c r="C33" s="81"/>
      <x:c r="D33" s="25"/>
      <x:c r="E33" s="82"/>
      <x:c r="F33" s="27"/>
      <x:c r="G33" s="24"/>
      <x:c r="H33" s="83"/>
    </x:row>
    <x:row r="34">
      <x:c r="A34" s="80"/>
      <x:c r="B34" s="25"/>
      <x:c r="C34" s="81"/>
      <x:c r="D34" s="25"/>
      <x:c r="E34" s="82"/>
      <x:c r="F34" s="27"/>
      <x:c r="G34" s="24"/>
      <x:c r="H34" s="83"/>
    </x:row>
    <x:row r="35">
      <x:c r="A35" s="80"/>
      <x:c r="B35" s="25"/>
      <x:c r="C35" s="81"/>
      <x:c r="D35" s="25"/>
      <x:c r="E35" s="82"/>
      <x:c r="F35" s="27"/>
      <x:c r="G35" s="24"/>
      <x:c r="H35" s="83"/>
    </x:row>
    <x:row r="36">
      <x:c r="A36" s="80"/>
      <x:c r="B36" s="25"/>
      <x:c r="C36" s="81"/>
      <x:c r="D36" s="25"/>
      <x:c r="E36" s="82"/>
      <x:c r="F36" s="27"/>
      <x:c r="G36" s="24"/>
      <x:c r="H36" s="83"/>
    </x:row>
    <x:row r="37">
      <x:c r="A37" s="80"/>
      <x:c r="B37" s="25"/>
      <x:c r="C37" s="81"/>
      <x:c r="D37" s="25"/>
      <x:c r="E37" s="82"/>
      <x:c r="F37" s="27"/>
      <x:c r="G37" s="24"/>
      <x:c r="H37" s="83"/>
    </x:row>
    <x:row r="38">
      <x:c r="A38" s="80"/>
      <x:c r="B38" s="25"/>
      <x:c r="C38" s="81"/>
      <x:c r="D38" s="25"/>
      <x:c r="E38" s="82"/>
      <x:c r="F38" s="27"/>
      <x:c r="G38" s="24"/>
      <x:c r="H38" s="83"/>
    </x:row>
    <x:row r="39">
      <x:c r="A39" s="80"/>
      <x:c r="B39" s="25"/>
      <x:c r="C39" s="81"/>
      <x:c r="D39" s="25"/>
      <x:c r="E39" s="82"/>
      <x:c r="F39" s="27"/>
      <x:c r="G39" s="24"/>
      <x:c r="H39" s="83"/>
    </x:row>
    <x:row r="40">
      <x:c r="A40" s="80"/>
      <x:c r="B40" s="25"/>
      <x:c r="C40" s="81"/>
      <x:c r="D40" s="25"/>
      <x:c r="E40" s="82"/>
      <x:c r="F40" s="27"/>
      <x:c r="G40" s="24"/>
      <x:c r="H40" s="83"/>
    </x:row>
    <x:row r="41">
      <x:c r="A41" s="80"/>
      <x:c r="B41" s="25"/>
      <x:c r="C41" s="81"/>
      <x:c r="D41" s="25"/>
      <x:c r="E41" s="82"/>
      <x:c r="F41" s="27"/>
      <x:c r="G41" s="24"/>
      <x:c r="H41" s="83"/>
    </x:row>
    <x:row r="42">
      <x:c r="A42" s="80"/>
      <x:c r="B42" s="25"/>
      <x:c r="C42" s="81"/>
      <x:c r="D42" s="25"/>
      <x:c r="E42" s="82"/>
      <x:c r="F42" s="27"/>
      <x:c r="G42" s="24"/>
      <x:c r="H42" s="83"/>
    </x:row>
    <x:row r="43">
      <x:c r="A43" s="80"/>
      <x:c r="B43" s="25"/>
      <x:c r="C43" s="81"/>
      <x:c r="D43" s="25"/>
      <x:c r="E43" s="82"/>
      <x:c r="F43" s="27"/>
      <x:c r="G43" s="24"/>
      <x:c r="H43" s="83"/>
    </x:row>
    <x:row r="44">
      <x:c r="A44" s="80"/>
      <x:c r="B44" s="25"/>
      <x:c r="C44" s="81"/>
      <x:c r="D44" s="25"/>
      <x:c r="E44" s="82"/>
      <x:c r="F44" s="27"/>
      <x:c r="G44" s="24"/>
      <x:c r="H44" s="83"/>
    </x:row>
    <x:row r="45">
      <x:c r="A45" s="80"/>
      <x:c r="B45" s="25"/>
      <x:c r="C45" s="81"/>
      <x:c r="D45" s="25"/>
      <x:c r="E45" s="82"/>
      <x:c r="F45" s="27"/>
      <x:c r="G45" s="24"/>
      <x:c r="H45" s="83"/>
    </x:row>
    <x:row r="46">
      <x:c r="A46" s="80"/>
      <x:c r="B46" s="25"/>
      <x:c r="C46" s="81"/>
      <x:c r="D46" s="25"/>
      <x:c r="E46" s="82"/>
      <x:c r="F46" s="27"/>
      <x:c r="G46" s="24"/>
      <x:c r="H46" s="83"/>
    </x:row>
    <x:row r="47">
      <x:c r="A47" s="80"/>
      <x:c r="B47" s="25"/>
      <x:c r="C47" s="81"/>
      <x:c r="D47" s="25"/>
      <x:c r="E47" s="82"/>
      <x:c r="F47" s="27"/>
      <x:c r="G47" s="24"/>
      <x:c r="H47" s="83"/>
    </x:row>
    <x:row r="48">
      <x:c r="A48" s="80"/>
      <x:c r="B48" s="25"/>
      <x:c r="C48" s="81"/>
      <x:c r="D48" s="25"/>
      <x:c r="E48" s="82"/>
      <x:c r="F48" s="27"/>
      <x:c r="G48" s="24"/>
      <x:c r="H48" s="83"/>
    </x:row>
    <x:row r="49">
      <x:c r="A49" s="80"/>
      <x:c r="B49" s="25"/>
      <x:c r="C49" s="81"/>
      <x:c r="D49" s="25"/>
      <x:c r="E49" s="82"/>
      <x:c r="F49" s="27"/>
      <x:c r="G49" s="24"/>
      <x:c r="H49" s="83"/>
    </x:row>
    <x:row r="50">
      <x:c r="A50" s="80"/>
      <x:c r="B50" s="25"/>
      <x:c r="C50" s="81"/>
      <x:c r="D50" s="25"/>
      <x:c r="E50" s="82"/>
      <x:c r="F50" s="27"/>
      <x:c r="G50" s="24"/>
      <x:c r="H50" s="83"/>
    </x:row>
    <x:row r="51">
      <x:c r="A51" s="80"/>
      <x:c r="B51" s="25"/>
      <x:c r="C51" s="81"/>
      <x:c r="D51" s="25"/>
      <x:c r="E51" s="82"/>
      <x:c r="F51" s="27"/>
      <x:c r="G51" s="24"/>
      <x:c r="H51" s="83"/>
    </x:row>
    <x:row r="52">
      <x:c r="A52" s="80"/>
      <x:c r="B52" s="25"/>
      <x:c r="C52" s="81"/>
      <x:c r="D52" s="25"/>
      <x:c r="E52" s="82"/>
      <x:c r="F52" s="27"/>
      <x:c r="G52" s="24"/>
      <x:c r="H52" s="83"/>
    </x:row>
    <x:row r="53">
      <x:c r="A53" s="80"/>
      <x:c r="B53" s="25"/>
      <x:c r="C53" s="81"/>
      <x:c r="D53" s="25"/>
      <x:c r="E53" s="82"/>
      <x:c r="F53" s="27"/>
      <x:c r="G53" s="24"/>
      <x:c r="H53" s="83"/>
    </x:row>
    <x:row r="54">
      <x:c r="A54" s="80"/>
      <x:c r="B54" s="25"/>
      <x:c r="C54" s="81"/>
      <x:c r="D54" s="25"/>
      <x:c r="E54" s="82"/>
      <x:c r="F54" s="27"/>
      <x:c r="G54" s="24"/>
      <x:c r="H54" s="83"/>
    </x:row>
    <x:row r="55">
      <x:c r="A55" s="80"/>
      <x:c r="B55" s="25"/>
      <x:c r="C55" s="81"/>
      <x:c r="D55" s="25"/>
      <x:c r="E55" s="82"/>
      <x:c r="F55" s="27"/>
      <x:c r="G55" s="24"/>
      <x:c r="H55" s="83"/>
    </x:row>
    <x:row r="56">
      <x:c r="A56" s="80"/>
      <x:c r="B56" s="25"/>
      <x:c r="C56" s="81"/>
      <x:c r="D56" s="25"/>
      <x:c r="E56" s="82"/>
      <x:c r="F56" s="27"/>
      <x:c r="G56" s="24"/>
      <x:c r="H56" s="83"/>
    </x:row>
    <x:row r="57">
      <x:c r="A57" s="80"/>
      <x:c r="B57" s="25"/>
      <x:c r="C57" s="81"/>
      <x:c r="D57" s="25"/>
      <x:c r="E57" s="82"/>
      <x:c r="F57" s="27"/>
      <x:c r="G57" s="24"/>
      <x:c r="H57" s="83"/>
    </x:row>
    <x:row r="58">
      <x:c r="A58" s="80"/>
      <x:c r="B58" s="25"/>
      <x:c r="C58" s="81"/>
      <x:c r="D58" s="25"/>
      <x:c r="E58" s="82"/>
      <x:c r="F58" s="27"/>
      <x:c r="G58" s="24"/>
      <x:c r="H58" s="83"/>
    </x:row>
    <x:row r="59">
      <x:c r="A59" s="80"/>
      <x:c r="B59" s="25"/>
      <x:c r="C59" s="81"/>
      <x:c r="D59" s="25"/>
      <x:c r="E59" s="82"/>
      <x:c r="F59" s="27"/>
      <x:c r="G59" s="24"/>
      <x:c r="H59" s="83"/>
    </x:row>
    <x:row r="60">
      <x:c r="A60" s="80"/>
      <x:c r="B60" s="25"/>
      <x:c r="C60" s="81"/>
      <x:c r="D60" s="25"/>
      <x:c r="E60" s="82"/>
      <x:c r="F60" s="27"/>
      <x:c r="G60" s="24"/>
      <x:c r="H60" s="83"/>
    </x:row>
    <x:row r="61">
      <x:c r="A61" s="80"/>
      <x:c r="B61" s="25"/>
      <x:c r="C61" s="81"/>
      <x:c r="D61" s="25"/>
      <x:c r="E61" s="82"/>
      <x:c r="F61" s="27"/>
      <x:c r="G61" s="24"/>
      <x:c r="H61" s="83"/>
    </x:row>
    <x:row r="62">
      <x:c r="A62" s="80"/>
      <x:c r="B62" s="25"/>
      <x:c r="C62" s="81"/>
      <x:c r="D62" s="25"/>
      <x:c r="E62" s="82"/>
      <x:c r="F62" s="27"/>
      <x:c r="G62" s="24"/>
      <x:c r="H62" s="83"/>
    </x:row>
    <x:row r="63">
      <x:c r="A63" s="80"/>
      <x:c r="B63" s="25"/>
      <x:c r="C63" s="81"/>
      <x:c r="D63" s="25"/>
      <x:c r="E63" s="82"/>
      <x:c r="F63" s="27"/>
      <x:c r="G63" s="24"/>
      <x:c r="H63" s="83"/>
    </x:row>
    <x:row r="64">
      <x:c r="A64" s="80"/>
      <x:c r="B64" s="25"/>
      <x:c r="C64" s="81"/>
      <x:c r="D64" s="25"/>
      <x:c r="E64" s="82"/>
      <x:c r="F64" s="27"/>
      <x:c r="G64" s="24"/>
      <x:c r="H64" s="83"/>
    </x:row>
    <x:row r="65">
      <x:c r="A65" s="80"/>
      <x:c r="B65" s="25"/>
      <x:c r="C65" s="81"/>
      <x:c r="D65" s="25"/>
      <x:c r="E65" s="82"/>
      <x:c r="F65" s="27"/>
      <x:c r="G65" s="24"/>
      <x:c r="H65" s="83"/>
    </x:row>
    <x:row r="66">
      <x:c r="A66" s="80"/>
      <x:c r="B66" s="25"/>
      <x:c r="C66" s="81"/>
      <x:c r="D66" s="25"/>
      <x:c r="E66" s="82"/>
      <x:c r="F66" s="27"/>
      <x:c r="G66" s="24"/>
      <x:c r="H66" s="83"/>
    </x:row>
    <x:row r="67">
      <x:c r="A67" s="80"/>
      <x:c r="B67" s="25"/>
      <x:c r="C67" s="81"/>
      <x:c r="D67" s="25"/>
      <x:c r="E67" s="82"/>
      <x:c r="F67" s="27"/>
      <x:c r="G67" s="24"/>
      <x:c r="H67" s="83"/>
    </x:row>
    <x:row r="68">
      <x:c r="A68" s="80"/>
      <x:c r="B68" s="25"/>
      <x:c r="C68" s="81"/>
      <x:c r="D68" s="25"/>
      <x:c r="E68" s="82"/>
      <x:c r="F68" s="27"/>
      <x:c r="G68" s="24"/>
      <x:c r="H68" s="83"/>
    </x:row>
    <x:row r="69">
      <x:c r="A69" s="80"/>
      <x:c r="B69" s="25"/>
      <x:c r="C69" s="81"/>
      <x:c r="D69" s="25"/>
      <x:c r="E69" s="82"/>
      <x:c r="F69" s="27"/>
      <x:c r="G69" s="24"/>
      <x:c r="H69" s="83"/>
    </x:row>
    <x:row r="70">
      <x:c r="A70" s="80"/>
      <x:c r="B70" s="25"/>
      <x:c r="C70" s="81"/>
      <x:c r="D70" s="25"/>
      <x:c r="E70" s="82"/>
      <x:c r="F70" s="27"/>
      <x:c r="G70" s="24"/>
      <x:c r="H70" s="83"/>
    </x:row>
    <x:row r="71">
      <x:c r="A71" s="80"/>
      <x:c r="B71" s="25"/>
      <x:c r="C71" s="81"/>
      <x:c r="D71" s="25"/>
      <x:c r="E71" s="82"/>
      <x:c r="F71" s="27"/>
      <x:c r="G71" s="24"/>
      <x:c r="H71" s="83"/>
    </x:row>
    <x:row r="72">
      <x:c r="A72" s="80"/>
      <x:c r="B72" s="25"/>
      <x:c r="C72" s="81"/>
      <x:c r="D72" s="25"/>
      <x:c r="E72" s="82"/>
      <x:c r="F72" s="27"/>
      <x:c r="G72" s="24"/>
      <x:c r="H72" s="83"/>
    </x:row>
    <x:row r="73">
      <x:c r="A73" s="80"/>
      <x:c r="B73" s="25"/>
      <x:c r="C73" s="81"/>
      <x:c r="D73" s="25"/>
      <x:c r="E73" s="82"/>
      <x:c r="F73" s="27"/>
      <x:c r="G73" s="24"/>
      <x:c r="H73" s="83"/>
    </x:row>
    <x:row r="74">
      <x:c r="A74" s="80"/>
      <x:c r="B74" s="25"/>
      <x:c r="C74" s="81"/>
      <x:c r="D74" s="25"/>
      <x:c r="E74" s="82"/>
      <x:c r="F74" s="27"/>
      <x:c r="G74" s="24"/>
      <x:c r="H74" s="83"/>
    </x:row>
    <x:row r="75">
      <x:c r="A75" s="80"/>
      <x:c r="B75" s="25"/>
      <x:c r="C75" s="81"/>
      <x:c r="D75" s="25"/>
      <x:c r="E75" s="82"/>
      <x:c r="F75" s="27"/>
      <x:c r="G75" s="24"/>
      <x:c r="H75" s="83"/>
    </x:row>
    <x:row r="76">
      <x:c r="A76" s="80"/>
      <x:c r="B76" s="25"/>
      <x:c r="C76" s="81"/>
      <x:c r="D76" s="25"/>
      <x:c r="E76" s="82"/>
      <x:c r="F76" s="27"/>
      <x:c r="G76" s="24"/>
      <x:c r="H76" s="83"/>
    </x:row>
    <x:row r="77">
      <x:c r="A77" s="80"/>
      <x:c r="B77" s="25"/>
      <x:c r="C77" s="81"/>
      <x:c r="D77" s="25"/>
      <x:c r="E77" s="82"/>
      <x:c r="F77" s="27"/>
      <x:c r="G77" s="24"/>
      <x:c r="H77" s="83"/>
    </x:row>
    <x:row r="78">
      <x:c r="A78" s="80"/>
      <x:c r="B78" s="25"/>
      <x:c r="C78" s="81"/>
      <x:c r="D78" s="25"/>
      <x:c r="E78" s="82"/>
      <x:c r="F78" s="27"/>
      <x:c r="G78" s="24"/>
      <x:c r="H78" s="83"/>
    </x:row>
    <x:row r="79">
      <x:c r="A79" s="80"/>
      <x:c r="B79" s="25"/>
      <x:c r="C79" s="81"/>
      <x:c r="D79" s="25"/>
      <x:c r="E79" s="82"/>
      <x:c r="F79" s="27"/>
      <x:c r="G79" s="24"/>
      <x:c r="H79" s="83"/>
    </x:row>
    <x:row r="80">
      <x:c r="A80" s="80"/>
      <x:c r="B80" s="25"/>
      <x:c r="C80" s="81"/>
      <x:c r="D80" s="25"/>
      <x:c r="E80" s="82"/>
      <x:c r="F80" s="27"/>
      <x:c r="G80" s="24"/>
      <x:c r="H80" s="83"/>
    </x:row>
    <x:row r="81">
      <x:c r="A81" s="80"/>
      <x:c r="B81" s="25"/>
      <x:c r="C81" s="81"/>
      <x:c r="D81" s="25"/>
      <x:c r="E81" s="82"/>
      <x:c r="F81" s="27"/>
      <x:c r="G81" s="24"/>
      <x:c r="H81" s="83"/>
    </x:row>
    <x:row r="82">
      <x:c r="A82" s="80"/>
      <x:c r="B82" s="25"/>
      <x:c r="C82" s="81"/>
      <x:c r="D82" s="25"/>
      <x:c r="E82" s="82"/>
      <x:c r="F82" s="27"/>
      <x:c r="G82" s="24"/>
      <x:c r="H82" s="83"/>
    </x:row>
    <x:row r="83">
      <x:c r="A83" s="80"/>
      <x:c r="B83" s="25"/>
      <x:c r="C83" s="81"/>
      <x:c r="D83" s="25"/>
      <x:c r="E83" s="82"/>
      <x:c r="F83" s="27"/>
      <x:c r="G83" s="24"/>
      <x:c r="H83" s="83"/>
    </x:row>
    <x:row r="84">
      <x:c r="A84" s="80"/>
      <x:c r="B84" s="25"/>
      <x:c r="C84" s="81"/>
      <x:c r="D84" s="25"/>
      <x:c r="E84" s="82"/>
      <x:c r="F84" s="27"/>
      <x:c r="G84" s="24"/>
      <x:c r="H84" s="83"/>
    </x:row>
    <x:row r="85">
      <x:c r="A85" s="80"/>
      <x:c r="B85" s="25"/>
      <x:c r="C85" s="81"/>
      <x:c r="D85" s="25"/>
      <x:c r="E85" s="82"/>
      <x:c r="F85" s="27"/>
      <x:c r="G85" s="24"/>
      <x:c r="H85" s="83"/>
    </x:row>
    <x:row r="86">
      <x:c r="A86" s="80"/>
      <x:c r="B86" s="25"/>
      <x:c r="C86" s="81"/>
      <x:c r="D86" s="25"/>
      <x:c r="E86" s="82"/>
      <x:c r="F86" s="27"/>
      <x:c r="G86" s="24"/>
      <x:c r="H86" s="83"/>
    </x:row>
    <x:row r="87">
      <x:c r="A87" s="80"/>
      <x:c r="B87" s="25"/>
      <x:c r="C87" s="81"/>
      <x:c r="D87" s="25"/>
      <x:c r="E87" s="82"/>
      <x:c r="F87" s="27"/>
      <x:c r="G87" s="24"/>
      <x:c r="H87" s="83"/>
    </x:row>
    <x:row r="88">
      <x:c r="A88" s="80"/>
      <x:c r="B88" s="25"/>
      <x:c r="C88" s="81"/>
      <x:c r="D88" s="25"/>
      <x:c r="E88" s="82"/>
      <x:c r="F88" s="27"/>
      <x:c r="G88" s="24"/>
      <x:c r="H88" s="83"/>
    </x:row>
    <x:row r="89">
      <x:c r="A89" s="80"/>
      <x:c r="B89" s="25"/>
      <x:c r="C89" s="81"/>
      <x:c r="D89" s="25"/>
      <x:c r="E89" s="82"/>
      <x:c r="F89" s="27"/>
      <x:c r="G89" s="24"/>
      <x:c r="H89" s="83"/>
    </x:row>
    <x:row r="90">
      <x:c r="A90" s="80"/>
      <x:c r="B90" s="25"/>
      <x:c r="C90" s="81"/>
      <x:c r="D90" s="25"/>
      <x:c r="E90" s="82"/>
      <x:c r="F90" s="27"/>
      <x:c r="G90" s="24"/>
      <x:c r="H90" s="83"/>
    </x:row>
    <x:row r="91">
      <x:c r="A91" s="80"/>
      <x:c r="B91" s="25"/>
      <x:c r="C91" s="81"/>
      <x:c r="D91" s="25"/>
      <x:c r="E91" s="82"/>
      <x:c r="F91" s="27"/>
      <x:c r="G91" s="24"/>
      <x:c r="H91" s="83"/>
    </x:row>
    <x:row r="92">
      <x:c r="A92" s="80"/>
      <x:c r="B92" s="25"/>
      <x:c r="C92" s="81"/>
      <x:c r="D92" s="25"/>
      <x:c r="E92" s="82"/>
      <x:c r="F92" s="27"/>
      <x:c r="G92" s="24"/>
      <x:c r="H92" s="83"/>
    </x:row>
    <x:row r="93">
      <x:c r="A93" s="80"/>
      <x:c r="B93" s="25"/>
      <x:c r="C93" s="81"/>
      <x:c r="D93" s="25"/>
      <x:c r="E93" s="82"/>
      <x:c r="F93" s="27"/>
      <x:c r="G93" s="24"/>
      <x:c r="H93" s="83"/>
    </x:row>
    <x:row r="94">
      <x:c r="A94" s="80"/>
      <x:c r="B94" s="25"/>
      <x:c r="C94" s="81"/>
      <x:c r="D94" s="25"/>
      <x:c r="E94" s="82"/>
      <x:c r="F94" s="27"/>
      <x:c r="G94" s="24"/>
      <x:c r="H94" s="83"/>
    </x:row>
    <x:row r="95">
      <x:c r="A95" s="80"/>
      <x:c r="B95" s="25"/>
      <x:c r="C95" s="81"/>
      <x:c r="D95" s="25"/>
      <x:c r="E95" s="82"/>
      <x:c r="F95" s="27"/>
      <x:c r="G95" s="24"/>
      <x:c r="H95" s="83"/>
    </x:row>
    <x:row r="96">
      <x:c r="A96" s="80"/>
      <x:c r="B96" s="25"/>
      <x:c r="C96" s="81"/>
      <x:c r="D96" s="25"/>
      <x:c r="E96" s="82"/>
      <x:c r="F96" s="27"/>
      <x:c r="G96" s="24"/>
      <x:c r="H96" s="83"/>
    </x:row>
    <x:row r="97">
      <x:c r="A97" s="80"/>
      <x:c r="B97" s="25"/>
      <x:c r="C97" s="81"/>
      <x:c r="D97" s="25"/>
      <x:c r="E97" s="82"/>
      <x:c r="F97" s="27"/>
      <x:c r="G97" s="24"/>
      <x:c r="H97" s="83"/>
    </x:row>
    <x:row r="98">
      <x:c r="A98" s="80"/>
      <x:c r="B98" s="25"/>
      <x:c r="C98" s="81"/>
      <x:c r="D98" s="25"/>
      <x:c r="E98" s="82"/>
      <x:c r="F98" s="27"/>
      <x:c r="G98" s="24"/>
      <x:c r="H98" s="83"/>
    </x:row>
    <x:row r="99">
      <x:c r="A99" s="80"/>
      <x:c r="B99" s="25"/>
      <x:c r="C99" s="81"/>
      <x:c r="D99" s="25"/>
      <x:c r="E99" s="82"/>
      <x:c r="F99" s="27"/>
      <x:c r="G99" s="24"/>
      <x:c r="H99" s="83"/>
    </x:row>
    <x:row r="100">
      <x:c r="A100" s="80"/>
      <x:c r="B100" s="25"/>
      <x:c r="C100" s="81"/>
      <x:c r="D100" s="25"/>
      <x:c r="E100" s="82"/>
      <x:c r="F100" s="27"/>
      <x:c r="G100" s="24"/>
      <x:c r="H100" s="83"/>
    </x:row>
    <x:row r="101">
      <x:c r="A101" s="80"/>
      <x:c r="B101" s="25"/>
      <x:c r="C101" s="81"/>
      <x:c r="D101" s="25"/>
      <x:c r="E101" s="82"/>
      <x:c r="F101" s="27"/>
      <x:c r="G101" s="24"/>
      <x:c r="H101" s="83"/>
    </x:row>
    <x:row r="102">
      <x:c r="A102" s="80"/>
      <x:c r="B102" s="25"/>
      <x:c r="C102" s="81"/>
      <x:c r="D102" s="25"/>
      <x:c r="E102" s="82"/>
      <x:c r="F102" s="27"/>
      <x:c r="G102" s="24"/>
      <x:c r="H102" s="83"/>
    </x:row>
    <x:row r="103">
      <x:c r="A103" s="80"/>
      <x:c r="B103" s="25"/>
      <x:c r="C103" s="81"/>
      <x:c r="D103" s="25"/>
      <x:c r="E103" s="82"/>
      <x:c r="F103" s="27"/>
      <x:c r="G103" s="24"/>
      <x:c r="H103" s="83"/>
    </x:row>
    <x:row r="104">
      <x:c r="A104" s="80"/>
      <x:c r="B104" s="25"/>
      <x:c r="C104" s="81"/>
      <x:c r="D104" s="25"/>
      <x:c r="E104" s="82"/>
      <x:c r="F104" s="27"/>
      <x:c r="G104" s="24"/>
      <x:c r="H104" s="83"/>
    </x:row>
    <x:row r="105">
      <x:c r="A105" s="80"/>
      <x:c r="B105" s="25"/>
      <x:c r="C105" s="81"/>
      <x:c r="D105" s="25"/>
      <x:c r="E105" s="82"/>
      <x:c r="F105" s="27"/>
      <x:c r="G105" s="24"/>
      <x:c r="H105" s="83"/>
    </x:row>
    <x:row r="106">
      <x:c r="A106" s="80"/>
      <x:c r="B106" s="25"/>
      <x:c r="C106" s="81"/>
      <x:c r="D106" s="25"/>
      <x:c r="E106" s="82"/>
      <x:c r="F106" s="27"/>
      <x:c r="G106" s="24"/>
      <x:c r="H106" s="83"/>
    </x:row>
    <x:row r="107">
      <x:c r="A107" s="80"/>
      <x:c r="B107" s="25"/>
      <x:c r="C107" s="81"/>
      <x:c r="D107" s="25"/>
      <x:c r="E107" s="82"/>
      <x:c r="F107" s="27"/>
      <x:c r="G107" s="24"/>
      <x:c r="H107" s="83"/>
    </x:row>
    <x:row r="108">
      <x:c r="A108" s="80"/>
      <x:c r="B108" s="25"/>
      <x:c r="C108" s="81"/>
      <x:c r="D108" s="25"/>
      <x:c r="E108" s="82"/>
      <x:c r="F108" s="27"/>
      <x:c r="G108" s="24"/>
      <x:c r="H108" s="83"/>
    </x:row>
    <x:row r="109">
      <x:c r="A109" s="80"/>
      <x:c r="B109" s="25"/>
      <x:c r="C109" s="81"/>
      <x:c r="D109" s="25"/>
      <x:c r="E109" s="82"/>
      <x:c r="F109" s="27"/>
      <x:c r="G109" s="24"/>
      <x:c r="H109" s="83"/>
    </x:row>
    <x:row r="110">
      <x:c r="A110" s="80"/>
      <x:c r="B110" s="25"/>
      <x:c r="C110" s="81"/>
      <x:c r="D110" s="25"/>
      <x:c r="E110" s="82"/>
      <x:c r="F110" s="27"/>
      <x:c r="G110" s="24"/>
      <x:c r="H110" s="83"/>
    </x:row>
    <x:row r="111">
      <x:c r="A111" s="80"/>
      <x:c r="B111" s="25"/>
      <x:c r="C111" s="81"/>
      <x:c r="D111" s="25"/>
      <x:c r="E111" s="82"/>
      <x:c r="F111" s="27"/>
      <x:c r="G111" s="24"/>
      <x:c r="H111" s="83"/>
    </x:row>
    <x:row r="112">
      <x:c r="A112" s="80"/>
      <x:c r="B112" s="25"/>
      <x:c r="C112" s="81"/>
      <x:c r="D112" s="25"/>
      <x:c r="E112" s="82"/>
      <x:c r="F112" s="27"/>
      <x:c r="G112" s="24"/>
      <x:c r="H112" s="83"/>
    </x:row>
    <x:row r="113">
      <x:c r="A113" s="80"/>
      <x:c r="B113" s="25"/>
      <x:c r="C113" s="81"/>
      <x:c r="D113" s="25"/>
      <x:c r="E113" s="82"/>
      <x:c r="F113" s="27"/>
      <x:c r="G113" s="24"/>
      <x:c r="H113" s="83"/>
    </x:row>
    <x:row r="114">
      <x:c r="A114" s="80"/>
      <x:c r="B114" s="25"/>
      <x:c r="C114" s="81"/>
      <x:c r="D114" s="25"/>
      <x:c r="E114" s="82"/>
      <x:c r="F114" s="27"/>
      <x:c r="G114" s="24"/>
      <x:c r="H114" s="83"/>
    </x:row>
    <x:row r="115">
      <x:c r="A115" s="80"/>
      <x:c r="B115" s="25"/>
      <x:c r="C115" s="81"/>
      <x:c r="D115" s="25"/>
      <x:c r="E115" s="82"/>
      <x:c r="F115" s="27"/>
      <x:c r="G115" s="24"/>
      <x:c r="H115" s="83"/>
    </x:row>
    <x:row r="116">
      <x:c r="A116" s="80"/>
      <x:c r="B116" s="25"/>
      <x:c r="C116" s="81"/>
      <x:c r="D116" s="25"/>
      <x:c r="E116" s="82"/>
      <x:c r="F116" s="27"/>
      <x:c r="G116" s="24"/>
      <x:c r="H116" s="83"/>
    </x:row>
    <x:row r="117">
      <x:c r="A117" s="80"/>
      <x:c r="B117" s="25"/>
      <x:c r="C117" s="81"/>
      <x:c r="D117" s="25"/>
      <x:c r="E117" s="82"/>
      <x:c r="F117" s="27"/>
      <x:c r="G117" s="24"/>
      <x:c r="H117" s="83"/>
    </x:row>
    <x:row r="118">
      <x:c r="A118" s="80"/>
      <x:c r="B118" s="25"/>
      <x:c r="C118" s="81"/>
      <x:c r="D118" s="25"/>
      <x:c r="E118" s="82"/>
      <x:c r="F118" s="27"/>
      <x:c r="G118" s="24"/>
      <x:c r="H118" s="83"/>
    </x:row>
    <x:row r="119">
      <x:c r="A119" s="80"/>
      <x:c r="B119" s="25"/>
      <x:c r="C119" s="81"/>
      <x:c r="D119" s="25"/>
      <x:c r="E119" s="82"/>
      <x:c r="F119" s="27"/>
      <x:c r="G119" s="24"/>
      <x:c r="H119" s="83"/>
    </x:row>
    <x:row r="120">
      <x:c r="A120" s="80"/>
      <x:c r="B120" s="25"/>
      <x:c r="C120" s="81"/>
      <x:c r="D120" s="25"/>
      <x:c r="E120" s="82"/>
      <x:c r="F120" s="27"/>
      <x:c r="G120" s="24"/>
      <x:c r="H120" s="83"/>
    </x:row>
    <x:row r="121">
      <x:c r="A121" s="80"/>
      <x:c r="B121" s="25"/>
      <x:c r="C121" s="81"/>
      <x:c r="D121" s="25"/>
      <x:c r="E121" s="82"/>
      <x:c r="F121" s="27"/>
      <x:c r="G121" s="24"/>
      <x:c r="H121" s="83"/>
    </x:row>
    <x:row r="122">
      <x:c r="A122" s="80"/>
      <x:c r="B122" s="25"/>
      <x:c r="C122" s="81"/>
      <x:c r="D122" s="25"/>
      <x:c r="E122" s="82"/>
      <x:c r="F122" s="27"/>
      <x:c r="G122" s="24"/>
      <x:c r="H122" s="83"/>
    </x:row>
    <x:row r="123">
      <x:c r="A123" s="80"/>
      <x:c r="B123" s="25"/>
      <x:c r="C123" s="81"/>
      <x:c r="D123" s="25"/>
      <x:c r="E123" s="82"/>
      <x:c r="F123" s="27"/>
      <x:c r="G123" s="24"/>
      <x:c r="H123" s="83"/>
    </x:row>
    <x:row r="124">
      <x:c r="A124" s="80"/>
      <x:c r="B124" s="25"/>
      <x:c r="C124" s="81"/>
      <x:c r="D124" s="25"/>
      <x:c r="E124" s="82"/>
      <x:c r="F124" s="27"/>
      <x:c r="G124" s="24"/>
      <x:c r="H124" s="83"/>
    </x:row>
    <x:row r="125">
      <x:c r="A125" s="80"/>
      <x:c r="B125" s="25"/>
      <x:c r="C125" s="81"/>
      <x:c r="D125" s="25"/>
      <x:c r="E125" s="82"/>
      <x:c r="F125" s="27"/>
      <x:c r="G125" s="24"/>
      <x:c r="H125" s="83"/>
    </x:row>
    <x:row r="126">
      <x:c r="A126" s="80"/>
      <x:c r="B126" s="25"/>
      <x:c r="C126" s="81"/>
      <x:c r="D126" s="25"/>
      <x:c r="E126" s="82"/>
      <x:c r="F126" s="27"/>
      <x:c r="G126" s="24"/>
      <x:c r="H126" s="83"/>
    </x:row>
    <x:row r="127">
      <x:c r="A127" s="80"/>
      <x:c r="B127" s="25"/>
      <x:c r="C127" s="81"/>
      <x:c r="D127" s="25"/>
      <x:c r="E127" s="82"/>
      <x:c r="F127" s="27"/>
      <x:c r="G127" s="24"/>
      <x:c r="H127" s="83"/>
    </x:row>
    <x:row r="128">
      <x:c r="A128" s="80"/>
      <x:c r="B128" s="25"/>
      <x:c r="C128" s="81"/>
      <x:c r="D128" s="25"/>
      <x:c r="E128" s="82"/>
      <x:c r="F128" s="27"/>
      <x:c r="G128" s="24"/>
      <x:c r="H128" s="83"/>
    </x:row>
    <x:row r="129">
      <x:c r="A129" s="80"/>
      <x:c r="B129" s="25"/>
      <x:c r="C129" s="81"/>
      <x:c r="D129" s="25"/>
      <x:c r="E129" s="82"/>
      <x:c r="F129" s="27"/>
      <x:c r="G129" s="24"/>
      <x:c r="H129" s="83"/>
    </x:row>
    <x:row r="130">
      <x:c r="A130" s="80"/>
      <x:c r="B130" s="25"/>
      <x:c r="C130" s="81"/>
      <x:c r="D130" s="25"/>
      <x:c r="E130" s="82"/>
      <x:c r="F130" s="27"/>
      <x:c r="G130" s="24"/>
      <x:c r="H130" s="83"/>
    </x:row>
    <x:row r="131">
      <x:c r="A131" s="80"/>
      <x:c r="B131" s="25"/>
      <x:c r="C131" s="81"/>
      <x:c r="D131" s="25"/>
      <x:c r="E131" s="82"/>
      <x:c r="F131" s="27"/>
      <x:c r="G131" s="24"/>
      <x:c r="H131" s="83"/>
    </x:row>
    <x:row r="132">
      <x:c r="A132" s="80"/>
      <x:c r="B132" s="25"/>
      <x:c r="C132" s="81"/>
      <x:c r="D132" s="25"/>
      <x:c r="E132" s="82"/>
      <x:c r="F132" s="27"/>
      <x:c r="G132" s="24"/>
      <x:c r="H132" s="83"/>
    </x:row>
    <x:row r="133">
      <x:c r="A133" s="80"/>
      <x:c r="B133" s="25"/>
      <x:c r="C133" s="81"/>
      <x:c r="D133" s="25"/>
      <x:c r="E133" s="82"/>
      <x:c r="F133" s="27"/>
      <x:c r="G133" s="24"/>
      <x:c r="H133" s="83"/>
    </x:row>
    <x:row r="134">
      <x:c r="A134" s="80"/>
      <x:c r="B134" s="25"/>
      <x:c r="C134" s="81"/>
      <x:c r="D134" s="25"/>
      <x:c r="E134" s="82"/>
      <x:c r="F134" s="27"/>
      <x:c r="G134" s="24"/>
      <x:c r="H134" s="83"/>
    </x:row>
    <x:row r="135">
      <x:c r="A135" s="80"/>
      <x:c r="B135" s="25"/>
      <x:c r="C135" s="81"/>
      <x:c r="D135" s="25"/>
      <x:c r="E135" s="82"/>
      <x:c r="F135" s="27"/>
      <x:c r="G135" s="24"/>
      <x:c r="H135" s="83"/>
    </x:row>
    <x:row r="136">
      <x:c r="A136" s="80"/>
      <x:c r="B136" s="25"/>
      <x:c r="C136" s="81"/>
      <x:c r="D136" s="25"/>
      <x:c r="E136" s="82"/>
      <x:c r="F136" s="27"/>
      <x:c r="G136" s="24"/>
      <x:c r="H136" s="83"/>
    </x:row>
    <x:row r="137">
      <x:c r="A137" s="80"/>
      <x:c r="B137" s="25"/>
      <x:c r="C137" s="81"/>
      <x:c r="D137" s="25"/>
      <x:c r="E137" s="82"/>
      <x:c r="F137" s="27"/>
      <x:c r="G137" s="24"/>
      <x:c r="H137" s="83"/>
    </x:row>
    <x:row r="138">
      <x:c r="A138" s="80"/>
      <x:c r="B138" s="25"/>
      <x:c r="C138" s="81"/>
      <x:c r="D138" s="25"/>
      <x:c r="E138" s="82"/>
      <x:c r="F138" s="27"/>
      <x:c r="G138" s="24"/>
      <x:c r="H138" s="83"/>
    </x:row>
    <x:row r="139">
      <x:c r="A139" s="80"/>
      <x:c r="B139" s="25"/>
      <x:c r="C139" s="81"/>
      <x:c r="D139" s="25"/>
      <x:c r="E139" s="82"/>
      <x:c r="F139" s="27"/>
      <x:c r="G139" s="24"/>
      <x:c r="H139" s="83"/>
    </x:row>
    <x:row r="140">
      <x:c r="A140" s="80"/>
      <x:c r="B140" s="25"/>
      <x:c r="C140" s="81"/>
      <x:c r="D140" s="25"/>
      <x:c r="E140" s="82"/>
      <x:c r="F140" s="27"/>
      <x:c r="G140" s="24"/>
      <x:c r="H140" s="83"/>
    </x:row>
    <x:row r="141">
      <x:c r="A141" s="80"/>
      <x:c r="B141" s="25"/>
      <x:c r="C141" s="81"/>
      <x:c r="D141" s="25"/>
      <x:c r="E141" s="82"/>
      <x:c r="F141" s="27"/>
      <x:c r="G141" s="24"/>
      <x:c r="H141" s="83"/>
    </x:row>
    <x:row r="142">
      <x:c r="A142" s="80"/>
      <x:c r="B142" s="25"/>
      <x:c r="C142" s="81"/>
      <x:c r="D142" s="25"/>
      <x:c r="E142" s="82"/>
      <x:c r="F142" s="27"/>
      <x:c r="G142" s="24"/>
      <x:c r="H142" s="83"/>
    </x:row>
    <x:row r="143">
      <x:c r="A143" s="80"/>
      <x:c r="B143" s="25"/>
      <x:c r="C143" s="81"/>
      <x:c r="D143" s="25"/>
      <x:c r="E143" s="82"/>
      <x:c r="F143" s="27"/>
      <x:c r="G143" s="24"/>
      <x:c r="H143" s="83"/>
    </x:row>
    <x:row r="144">
      <x:c r="A144" s="80"/>
      <x:c r="B144" s="25"/>
      <x:c r="C144" s="81"/>
      <x:c r="D144" s="25"/>
      <x:c r="E144" s="82"/>
      <x:c r="F144" s="27"/>
      <x:c r="G144" s="24"/>
      <x:c r="H144" s="83"/>
    </x:row>
    <x:row r="145">
      <x:c r="A145" s="80"/>
      <x:c r="B145" s="25"/>
      <x:c r="C145" s="81"/>
      <x:c r="D145" s="25"/>
      <x:c r="E145" s="82"/>
      <x:c r="F145" s="27"/>
      <x:c r="G145" s="24"/>
      <x:c r="H145" s="83"/>
    </x:row>
    <x:row r="146">
      <x:c r="A146" s="80"/>
      <x:c r="B146" s="25"/>
      <x:c r="C146" s="81"/>
      <x:c r="D146" s="25"/>
      <x:c r="E146" s="82"/>
      <x:c r="F146" s="27"/>
      <x:c r="G146" s="24"/>
      <x:c r="H146" s="83"/>
    </x:row>
    <x:row r="147">
      <x:c r="A147" s="80"/>
      <x:c r="B147" s="25"/>
      <x:c r="C147" s="81"/>
      <x:c r="D147" s="25"/>
      <x:c r="E147" s="82"/>
      <x:c r="F147" s="27"/>
      <x:c r="G147" s="24"/>
      <x:c r="H147" s="83"/>
    </x:row>
    <x:row r="148">
      <x:c r="A148" s="80"/>
      <x:c r="B148" s="25"/>
      <x:c r="C148" s="81"/>
      <x:c r="D148" s="25"/>
      <x:c r="E148" s="82"/>
      <x:c r="F148" s="27"/>
      <x:c r="G148" s="24"/>
      <x:c r="H148" s="83"/>
    </x:row>
    <x:row r="149">
      <x:c r="A149" s="80"/>
      <x:c r="B149" s="25"/>
      <x:c r="C149" s="81"/>
      <x:c r="D149" s="25"/>
      <x:c r="E149" s="82"/>
      <x:c r="F149" s="27"/>
      <x:c r="G149" s="24"/>
      <x:c r="H149" s="83"/>
    </x:row>
    <x:row r="150">
      <x:c r="A150" s="80"/>
      <x:c r="B150" s="25"/>
      <x:c r="C150" s="81"/>
      <x:c r="D150" s="25"/>
      <x:c r="E150" s="82"/>
      <x:c r="F150" s="27"/>
      <x:c r="G150" s="24"/>
      <x:c r="H150" s="83"/>
    </x:row>
    <x:row r="151">
      <x:c r="A151" s="80"/>
      <x:c r="B151" s="25"/>
      <x:c r="C151" s="81"/>
      <x:c r="D151" s="25"/>
      <x:c r="E151" s="82"/>
      <x:c r="F151" s="27"/>
      <x:c r="G151" s="24"/>
      <x:c r="H151" s="83"/>
    </x:row>
    <x:row r="152">
      <x:c r="A152" s="80"/>
      <x:c r="B152" s="25"/>
      <x:c r="C152" s="81"/>
      <x:c r="D152" s="25"/>
      <x:c r="E152" s="82"/>
      <x:c r="F152" s="27"/>
      <x:c r="G152" s="24"/>
      <x:c r="H152" s="83"/>
    </x:row>
    <x:row r="153">
      <x:c r="A153" s="80"/>
      <x:c r="B153" s="25"/>
      <x:c r="C153" s="81"/>
      <x:c r="D153" s="25"/>
      <x:c r="E153" s="82"/>
      <x:c r="F153" s="27"/>
      <x:c r="G153" s="24"/>
      <x:c r="H153" s="83"/>
    </x:row>
    <x:row r="154">
      <x:c r="A154" s="80"/>
      <x:c r="B154" s="25"/>
      <x:c r="C154" s="81"/>
      <x:c r="D154" s="25"/>
      <x:c r="E154" s="82"/>
      <x:c r="F154" s="27"/>
      <x:c r="G154" s="24"/>
      <x:c r="H154" s="83"/>
    </x:row>
    <x:row r="155">
      <x:c r="A155" s="80"/>
      <x:c r="B155" s="25"/>
      <x:c r="C155" s="81"/>
      <x:c r="D155" s="25"/>
      <x:c r="E155" s="82"/>
      <x:c r="F155" s="27"/>
      <x:c r="G155" s="24"/>
      <x:c r="H155" s="83"/>
    </x:row>
    <x:row r="156">
      <x:c r="A156" s="80"/>
      <x:c r="B156" s="25"/>
      <x:c r="C156" s="81"/>
      <x:c r="D156" s="25"/>
      <x:c r="E156" s="82"/>
      <x:c r="F156" s="27"/>
      <x:c r="G156" s="24"/>
      <x:c r="H156" s="83"/>
    </x:row>
    <x:row r="157">
      <x:c r="A157" s="80"/>
      <x:c r="B157" s="25"/>
      <x:c r="C157" s="81"/>
      <x:c r="D157" s="25"/>
      <x:c r="E157" s="82"/>
      <x:c r="F157" s="27"/>
      <x:c r="G157" s="24"/>
      <x:c r="H157" s="83"/>
    </x:row>
    <x:row r="158">
      <x:c r="A158" s="80"/>
      <x:c r="B158" s="25"/>
      <x:c r="C158" s="81"/>
      <x:c r="D158" s="25"/>
      <x:c r="E158" s="82"/>
      <x:c r="F158" s="27"/>
      <x:c r="G158" s="24"/>
      <x:c r="H158" s="83"/>
    </x:row>
    <x:row r="159">
      <x:c r="A159" s="80"/>
      <x:c r="B159" s="25"/>
      <x:c r="C159" s="81"/>
      <x:c r="D159" s="25"/>
      <x:c r="E159" s="82"/>
      <x:c r="F159" s="27"/>
      <x:c r="G159" s="24"/>
      <x:c r="H159" s="83"/>
    </x:row>
    <x:row r="160">
      <x:c r="A160" s="80"/>
      <x:c r="B160" s="25"/>
      <x:c r="C160" s="81"/>
      <x:c r="D160" s="25"/>
      <x:c r="E160" s="82"/>
      <x:c r="F160" s="27"/>
      <x:c r="G160" s="24"/>
      <x:c r="H160" s="83"/>
    </x:row>
    <x:row r="161">
      <x:c r="A161" s="80"/>
      <x:c r="B161" s="25"/>
      <x:c r="C161" s="81"/>
      <x:c r="D161" s="25"/>
      <x:c r="E161" s="82"/>
      <x:c r="F161" s="27"/>
      <x:c r="G161" s="24"/>
      <x:c r="H161" s="83"/>
    </x:row>
    <x:row r="162">
      <x:c r="A162" s="80"/>
      <x:c r="B162" s="25"/>
      <x:c r="C162" s="81"/>
      <x:c r="D162" s="25"/>
      <x:c r="E162" s="82"/>
      <x:c r="F162" s="27"/>
      <x:c r="G162" s="24"/>
      <x:c r="H162" s="83"/>
    </x:row>
    <x:row r="163">
      <x:c r="A163" s="80"/>
      <x:c r="B163" s="25"/>
      <x:c r="C163" s="81"/>
      <x:c r="D163" s="25"/>
      <x:c r="E163" s="82"/>
      <x:c r="F163" s="27"/>
      <x:c r="G163" s="24"/>
      <x:c r="H163" s="83"/>
    </x:row>
    <x:row r="164">
      <x:c r="A164" s="80"/>
      <x:c r="B164" s="25"/>
      <x:c r="C164" s="81"/>
      <x:c r="D164" s="25"/>
      <x:c r="E164" s="82"/>
      <x:c r="F164" s="27"/>
      <x:c r="G164" s="24"/>
      <x:c r="H164" s="83"/>
    </x:row>
    <x:row r="165">
      <x:c r="A165" s="80"/>
      <x:c r="B165" s="25"/>
      <x:c r="C165" s="81"/>
      <x:c r="D165" s="25"/>
      <x:c r="E165" s="82"/>
      <x:c r="F165" s="27"/>
      <x:c r="G165" s="24"/>
      <x:c r="H165" s="83"/>
    </x:row>
    <x:row r="166">
      <x:c r="A166" s="80"/>
      <x:c r="B166" s="25"/>
      <x:c r="C166" s="81"/>
      <x:c r="D166" s="25"/>
      <x:c r="E166" s="82"/>
      <x:c r="F166" s="27"/>
      <x:c r="G166" s="24"/>
      <x:c r="H166" s="83"/>
    </x:row>
    <x:row r="167">
      <x:c r="A167" s="80"/>
      <x:c r="B167" s="25"/>
      <x:c r="C167" s="81"/>
      <x:c r="D167" s="25"/>
      <x:c r="E167" s="82"/>
      <x:c r="F167" s="27"/>
      <x:c r="G167" s="24"/>
      <x:c r="H167" s="83"/>
    </x:row>
    <x:row r="168">
      <x:c r="A168" s="80"/>
      <x:c r="B168" s="25"/>
      <x:c r="C168" s="81"/>
      <x:c r="D168" s="25"/>
      <x:c r="E168" s="82"/>
      <x:c r="F168" s="27"/>
      <x:c r="G168" s="24"/>
      <x:c r="H168" s="83"/>
    </x:row>
    <x:row r="169">
      <x:c r="A169" s="80"/>
      <x:c r="B169" s="25"/>
      <x:c r="C169" s="81"/>
      <x:c r="D169" s="25"/>
      <x:c r="E169" s="82"/>
      <x:c r="F169" s="27"/>
      <x:c r="G169" s="24"/>
      <x:c r="H169" s="83"/>
    </x:row>
    <x:row r="170">
      <x:c r="A170" s="80"/>
      <x:c r="B170" s="25"/>
      <x:c r="C170" s="81"/>
      <x:c r="D170" s="25"/>
      <x:c r="E170" s="82"/>
      <x:c r="F170" s="27"/>
      <x:c r="G170" s="24"/>
      <x:c r="H170" s="83"/>
    </x:row>
    <x:row r="171">
      <x:c r="A171" s="80"/>
      <x:c r="B171" s="25"/>
      <x:c r="C171" s="81"/>
      <x:c r="D171" s="25"/>
      <x:c r="E171" s="82"/>
      <x:c r="F171" s="27"/>
      <x:c r="G171" s="24"/>
      <x:c r="H171" s="83"/>
    </x:row>
    <x:row r="172">
      <x:c r="A172" s="80"/>
      <x:c r="B172" s="25"/>
      <x:c r="C172" s="81"/>
      <x:c r="D172" s="25"/>
      <x:c r="E172" s="82"/>
      <x:c r="F172" s="27"/>
      <x:c r="G172" s="24"/>
      <x:c r="H172" s="83"/>
    </x:row>
    <x:row r="173">
      <x:c r="A173" s="80"/>
      <x:c r="B173" s="25"/>
      <x:c r="C173" s="81"/>
      <x:c r="D173" s="25"/>
      <x:c r="E173" s="82"/>
      <x:c r="F173" s="27"/>
      <x:c r="G173" s="24"/>
      <x:c r="H173" s="83"/>
    </x:row>
    <x:row r="174">
      <x:c r="A174" s="80"/>
      <x:c r="B174" s="25"/>
      <x:c r="C174" s="81"/>
      <x:c r="D174" s="25"/>
      <x:c r="E174" s="82"/>
      <x:c r="F174" s="27"/>
      <x:c r="G174" s="24"/>
      <x:c r="H174" s="83"/>
    </x:row>
    <x:row r="175">
      <x:c r="A175" s="80"/>
      <x:c r="B175" s="25"/>
      <x:c r="C175" s="81"/>
      <x:c r="D175" s="25"/>
      <x:c r="E175" s="82"/>
      <x:c r="F175" s="27"/>
      <x:c r="G175" s="24"/>
      <x:c r="H175" s="83"/>
    </x:row>
    <x:row r="176">
      <x:c r="A176" s="80"/>
      <x:c r="B176" s="25"/>
      <x:c r="C176" s="81"/>
      <x:c r="D176" s="25"/>
      <x:c r="E176" s="82"/>
      <x:c r="F176" s="27"/>
      <x:c r="G176" s="24"/>
      <x:c r="H176" s="83"/>
    </x:row>
    <x:row r="177">
      <x:c r="A177" s="80"/>
      <x:c r="B177" s="25"/>
      <x:c r="C177" s="81"/>
      <x:c r="D177" s="25"/>
      <x:c r="E177" s="82"/>
      <x:c r="F177" s="27"/>
      <x:c r="G177" s="24"/>
      <x:c r="H177" s="83"/>
    </x:row>
    <x:row r="178">
      <x:c r="A178" s="80"/>
      <x:c r="B178" s="25"/>
      <x:c r="C178" s="81"/>
      <x:c r="D178" s="25"/>
      <x:c r="E178" s="82"/>
      <x:c r="F178" s="27"/>
      <x:c r="G178" s="24"/>
      <x:c r="H178" s="83"/>
    </x:row>
    <x:row r="179">
      <x:c r="A179" s="80"/>
      <x:c r="B179" s="25"/>
      <x:c r="C179" s="81"/>
      <x:c r="D179" s="25"/>
      <x:c r="E179" s="82"/>
      <x:c r="F179" s="27"/>
      <x:c r="G179" s="24"/>
      <x:c r="H179" s="83"/>
    </x:row>
    <x:row r="180">
      <x:c r="A180" s="80"/>
      <x:c r="B180" s="25"/>
      <x:c r="C180" s="81"/>
      <x:c r="D180" s="25"/>
      <x:c r="E180" s="82"/>
      <x:c r="F180" s="27"/>
      <x:c r="G180" s="24"/>
      <x:c r="H180" s="83"/>
    </x:row>
    <x:row r="181">
      <x:c r="A181" s="80"/>
      <x:c r="B181" s="25"/>
      <x:c r="C181" s="81"/>
      <x:c r="D181" s="25"/>
      <x:c r="E181" s="82"/>
      <x:c r="F181" s="27"/>
      <x:c r="G181" s="24"/>
      <x:c r="H181" s="83"/>
    </x:row>
    <x:row r="182">
      <x:c r="A182" s="80"/>
      <x:c r="B182" s="25"/>
      <x:c r="C182" s="81"/>
      <x:c r="D182" s="25"/>
      <x:c r="E182" s="82"/>
      <x:c r="F182" s="27"/>
      <x:c r="G182" s="24"/>
      <x:c r="H182" s="83"/>
    </x:row>
    <x:row r="183">
      <x:c r="A183" s="80"/>
      <x:c r="B183" s="25"/>
      <x:c r="C183" s="81"/>
      <x:c r="D183" s="25"/>
      <x:c r="E183" s="82"/>
      <x:c r="F183" s="27"/>
      <x:c r="G183" s="24"/>
      <x:c r="H183" s="83"/>
    </x:row>
    <x:row r="184">
      <x:c r="A184" s="80"/>
      <x:c r="B184" s="25"/>
      <x:c r="C184" s="81"/>
      <x:c r="D184" s="25"/>
      <x:c r="E184" s="82"/>
      <x:c r="F184" s="27"/>
      <x:c r="G184" s="24"/>
      <x:c r="H184" s="83"/>
    </x:row>
    <x:row r="185">
      <x:c r="A185" s="80"/>
      <x:c r="B185" s="25"/>
      <x:c r="C185" s="81"/>
      <x:c r="D185" s="25"/>
      <x:c r="E185" s="82"/>
      <x:c r="F185" s="27"/>
      <x:c r="G185" s="24"/>
      <x:c r="H185" s="83"/>
    </x:row>
    <x:row r="186">
      <x:c r="A186" s="80"/>
      <x:c r="B186" s="25"/>
      <x:c r="C186" s="81"/>
      <x:c r="D186" s="25"/>
      <x:c r="E186" s="82"/>
      <x:c r="F186" s="27"/>
      <x:c r="G186" s="24"/>
      <x:c r="H186" s="83"/>
    </x:row>
    <x:row r="187">
      <x:c r="A187" s="80"/>
      <x:c r="B187" s="25"/>
      <x:c r="C187" s="81"/>
      <x:c r="D187" s="25"/>
      <x:c r="E187" s="82"/>
      <x:c r="F187" s="27"/>
      <x:c r="G187" s="24"/>
      <x:c r="H187" s="83"/>
    </x:row>
    <x:row r="188">
      <x:c r="A188" s="80"/>
      <x:c r="B188" s="25"/>
      <x:c r="C188" s="81"/>
      <x:c r="D188" s="25"/>
      <x:c r="E188" s="82"/>
      <x:c r="F188" s="27"/>
      <x:c r="G188" s="24"/>
      <x:c r="H188" s="83"/>
    </x:row>
    <x:row r="189">
      <x:c r="A189" s="80"/>
      <x:c r="B189" s="25"/>
      <x:c r="C189" s="81"/>
      <x:c r="D189" s="25"/>
      <x:c r="E189" s="82"/>
      <x:c r="F189" s="27"/>
      <x:c r="G189" s="24"/>
      <x:c r="H189" s="83"/>
    </x:row>
    <x:row r="190">
      <x:c r="A190" s="80"/>
      <x:c r="B190" s="25"/>
      <x:c r="C190" s="81"/>
      <x:c r="D190" s="25"/>
      <x:c r="E190" s="82"/>
      <x:c r="F190" s="27"/>
      <x:c r="G190" s="24"/>
      <x:c r="H190" s="83"/>
    </x:row>
    <x:row r="191">
      <x:c r="A191" s="80"/>
      <x:c r="B191" s="25"/>
      <x:c r="C191" s="81"/>
      <x:c r="D191" s="25"/>
      <x:c r="E191" s="82"/>
      <x:c r="F191" s="27"/>
      <x:c r="G191" s="24"/>
      <x:c r="H191" s="83"/>
    </x:row>
    <x:row r="192">
      <x:c r="A192" s="80"/>
      <x:c r="B192" s="25"/>
      <x:c r="C192" s="81"/>
      <x:c r="D192" s="25"/>
      <x:c r="E192" s="82"/>
      <x:c r="F192" s="27"/>
      <x:c r="G192" s="24"/>
      <x:c r="H192" s="83"/>
    </x:row>
    <x:row r="193">
      <x:c r="A193" s="80"/>
      <x:c r="B193" s="25"/>
      <x:c r="C193" s="81"/>
      <x:c r="D193" s="25"/>
      <x:c r="E193" s="82"/>
      <x:c r="F193" s="27"/>
      <x:c r="G193" s="24"/>
      <x:c r="H193" s="83"/>
    </x:row>
    <x:row r="194">
      <x:c r="A194" s="80"/>
      <x:c r="B194" s="25"/>
      <x:c r="C194" s="81"/>
      <x:c r="D194" s="25"/>
      <x:c r="E194" s="82"/>
      <x:c r="F194" s="27"/>
      <x:c r="G194" s="24"/>
      <x:c r="H194" s="83"/>
    </x:row>
    <x:row r="195">
      <x:c r="A195" s="80"/>
      <x:c r="B195" s="25"/>
      <x:c r="C195" s="81"/>
      <x:c r="D195" s="25"/>
      <x:c r="E195" s="82"/>
      <x:c r="F195" s="27"/>
      <x:c r="G195" s="24"/>
      <x:c r="H195" s="83"/>
    </x:row>
    <x:row r="196">
      <x:c r="A196" s="80"/>
      <x:c r="B196" s="25"/>
      <x:c r="C196" s="81"/>
      <x:c r="D196" s="25"/>
      <x:c r="E196" s="82"/>
      <x:c r="F196" s="27"/>
      <x:c r="G196" s="24"/>
      <x:c r="H196" s="83"/>
    </x:row>
    <x:row r="197">
      <x:c r="A197" s="80"/>
      <x:c r="B197" s="25"/>
      <x:c r="C197" s="81"/>
      <x:c r="D197" s="25"/>
      <x:c r="E197" s="82"/>
      <x:c r="F197" s="27"/>
      <x:c r="G197" s="24"/>
      <x:c r="H197" s="83"/>
    </x:row>
    <x:row r="198">
      <x:c r="A198" s="80"/>
      <x:c r="B198" s="25"/>
      <x:c r="C198" s="81"/>
      <x:c r="D198" s="25"/>
      <x:c r="E198" s="82"/>
      <x:c r="F198" s="27"/>
      <x:c r="G198" s="24"/>
      <x:c r="H198" s="83"/>
    </x:row>
    <x:row r="199">
      <x:c r="A199" s="80"/>
      <x:c r="B199" s="25"/>
      <x:c r="C199" s="81"/>
      <x:c r="D199" s="25"/>
      <x:c r="E199" s="82"/>
      <x:c r="F199" s="27"/>
      <x:c r="G199" s="24"/>
      <x:c r="H199" s="83"/>
    </x:row>
    <x:row r="200">
      <x:c r="A200" s="80"/>
      <x:c r="B200" s="25"/>
      <x:c r="C200" s="81"/>
      <x:c r="D200" s="25"/>
      <x:c r="E200" s="82"/>
      <x:c r="F200" s="27"/>
      <x:c r="G200" s="24"/>
      <x:c r="H200" s="83"/>
    </x:row>
    <x:row r="201">
      <x:c r="A201" s="80"/>
      <x:c r="B201" s="25"/>
      <x:c r="C201" s="81"/>
      <x:c r="D201" s="25"/>
      <x:c r="E201" s="82"/>
      <x:c r="F201" s="27"/>
      <x:c r="G201" s="24"/>
      <x:c r="H201" s="83"/>
    </x:row>
    <x:row r="202">
      <x:c r="A202" s="80"/>
      <x:c r="B202" s="25"/>
      <x:c r="C202" s="81"/>
      <x:c r="D202" s="25"/>
      <x:c r="E202" s="82"/>
      <x:c r="F202" s="27"/>
      <x:c r="G202" s="24"/>
      <x:c r="H202" s="83"/>
    </x:row>
    <x:row r="203">
      <x:c r="A203" s="80"/>
      <x:c r="B203" s="25"/>
      <x:c r="C203" s="81"/>
      <x:c r="D203" s="25"/>
      <x:c r="E203" s="82"/>
      <x:c r="F203" s="27"/>
      <x:c r="G203" s="24"/>
      <x:c r="H203" s="83"/>
    </x:row>
    <x:row r="204">
      <x:c r="A204" s="80"/>
      <x:c r="B204" s="25"/>
      <x:c r="C204" s="81"/>
      <x:c r="D204" s="25"/>
      <x:c r="E204" s="82"/>
      <x:c r="F204" s="27"/>
      <x:c r="G204" s="24"/>
      <x:c r="H204" s="83"/>
    </x:row>
  </x:sheetData>
  <x:mergeCells>
    <x:mergeCell ref="A1:H1"/>
    <x:mergeCell ref="A2:H2"/>
  </x:mergeCells>
  <x:dataValidations count="5">
    <x:dataValidation type="list" sqref="B5:B204">
      <x:formula1>'Code Lists'!$A$5:$A$8</x:formula1>
    </x:dataValidation>
    <x:dataValidation type="list" sqref="D5:D204">
      <x:formula1>'Code Lists'!$B$5:$B$6</x:formula1>
    </x:dataValidation>
    <x:dataValidation type="list" sqref="F5:F204">
      <x:formula1>'Code Lists'!$H$5:$H$8</x:formula1>
    </x:dataValidation>
    <x:dataValidation type="whole" operator="between" sqref="C5:C204">
      <x:formula1>6</x:formula1>
      <x:formula2>12</x:formula2>
    </x:dataValidation>
    <x:dataValidation type="list" sqref="H5:H204">
      <x:formula1>'Code Lists'!$J$5:$J$6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0a91b165c140e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  <x:selection pane="topRight" activeCell="C1" sqref="C1"/>
      <x:selection pane="bottomLeft" activeCell="A5" sqref="A5"/>
      <x:selection pane="bottomRight" activeCell="C5" sqref="C5"/>
    </x:sheetView>
  </x:sheetViews>
  <x:sheetFormatPr defaultRowHeight="15"/>
  <x:cols>
    <x:col min="1" max="1" width="19" hidden="0" customWidth="1"/>
    <x:col min="2" max="2" width="19" hidden="0" customWidth="1"/>
    <x:col min="3" max="3" width="15" hidden="0" customWidth="1"/>
    <x:col min="4" max="4" width="19" hidden="0" customWidth="1"/>
    <x:col min="5" max="5" width="15" hidden="0" customWidth="1"/>
    <x:col min="6" max="6" width="19" hidden="0" customWidth="1"/>
    <x:col min="7" max="7" width="18" hidden="0" customWidth="1"/>
    <x:col min="8" max="8" width="18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0" hidden="0" customWidth="1"/>
  </x:cols>
  <x:sheetData>
    <x:row r="1" ht="30" customHeight="1">
      <x:c r="A1" s="3" t="str">
        <x:v>Sessions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2" customHeight="1">
      <x:c r="A2" s="7" t="str">
        <x:v>REAL ENTRY - one row per session. participant_code must already exist in Participants.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46" customHeight="1">
      <x:c r="A4" s="67" t="str">
        <x:v>session_id</x:v>
      </x:c>
      <x:c r="B4" s="67" t="str">
        <x:v>participant_code</x:v>
      </x:c>
      <x:c r="C4" s="71" t="str">
        <x:v>grade</x:v>
      </x:c>
      <x:c r="D4" s="71" t="str">
        <x:v>session_date</x:v>
      </x:c>
      <x:c r="E4" s="71" t="str">
        <x:v>mode</x:v>
      </x:c>
      <x:c r="F4" s="67" t="str">
        <x:v>activity_id</x:v>
      </x:c>
      <x:c r="G4" s="71" t="str">
        <x:v>status</x:v>
      </x:c>
      <x:c r="H4" s="79" t="str">
        <x:v>review_state</x:v>
      </x:c>
      <x:c r="I4" s="87" t="str">
        <x:v>total_attempts</x:v>
      </x:c>
      <x:c r="J4" s="87" t="str">
        <x:v>valid_attempts</x:v>
      </x:c>
      <x:c r="K4" s="87" t="str">
        <x:v>invalid_attempts</x:v>
      </x:c>
      <x:c r="L4" s="75" t="str">
        <x:v>consent_verified</x:v>
      </x:c>
      <x:c r="M4" s="75" t="str">
        <x:v>session_notes</x:v>
      </x:c>
    </x:row>
    <x:row r="5">
      <x:c r="A5" s="80"/>
      <x:c r="B5" s="80"/>
      <x:c r="C5" s="25"/>
      <x:c r="D5" s="88"/>
      <x:c r="E5" s="25"/>
      <x:c r="F5" s="80"/>
      <x:c r="G5" s="25"/>
      <x:c r="H5" s="27"/>
      <x:c r="I5" s="89"/>
      <x:c r="J5" s="89"/>
      <x:c r="K5" s="89"/>
      <x:c r="L5" s="24"/>
      <x:c r="M5" s="24"/>
    </x:row>
    <x:row r="6">
      <x:c r="A6" s="80"/>
      <x:c r="B6" s="80"/>
      <x:c r="C6" s="25"/>
      <x:c r="D6" s="88"/>
      <x:c r="E6" s="25"/>
      <x:c r="F6" s="80"/>
      <x:c r="G6" s="25"/>
      <x:c r="H6" s="27"/>
      <x:c r="I6" s="89"/>
      <x:c r="J6" s="89"/>
      <x:c r="K6" s="89"/>
      <x:c r="L6" s="24"/>
      <x:c r="M6" s="24"/>
    </x:row>
    <x:row r="7">
      <x:c r="A7" s="80"/>
      <x:c r="B7" s="80"/>
      <x:c r="C7" s="25"/>
      <x:c r="D7" s="88"/>
      <x:c r="E7" s="25"/>
      <x:c r="F7" s="80"/>
      <x:c r="G7" s="25"/>
      <x:c r="H7" s="27"/>
      <x:c r="I7" s="89"/>
      <x:c r="J7" s="89"/>
      <x:c r="K7" s="89"/>
      <x:c r="L7" s="24"/>
      <x:c r="M7" s="24"/>
    </x:row>
    <x:row r="8">
      <x:c r="A8" s="80"/>
      <x:c r="B8" s="80"/>
      <x:c r="C8" s="25"/>
      <x:c r="D8" s="88"/>
      <x:c r="E8" s="25"/>
      <x:c r="F8" s="80"/>
      <x:c r="G8" s="25"/>
      <x:c r="H8" s="27"/>
      <x:c r="I8" s="89"/>
      <x:c r="J8" s="89"/>
      <x:c r="K8" s="89"/>
      <x:c r="L8" s="24"/>
      <x:c r="M8" s="24"/>
    </x:row>
    <x:row r="9">
      <x:c r="A9" s="80"/>
      <x:c r="B9" s="80"/>
      <x:c r="C9" s="25"/>
      <x:c r="D9" s="88"/>
      <x:c r="E9" s="25"/>
      <x:c r="F9" s="80"/>
      <x:c r="G9" s="25"/>
      <x:c r="H9" s="27"/>
      <x:c r="I9" s="89"/>
      <x:c r="J9" s="89"/>
      <x:c r="K9" s="89"/>
      <x:c r="L9" s="24"/>
      <x:c r="M9" s="24"/>
    </x:row>
    <x:row r="10">
      <x:c r="A10" s="80"/>
      <x:c r="B10" s="80"/>
      <x:c r="C10" s="25"/>
      <x:c r="D10" s="88"/>
      <x:c r="E10" s="25"/>
      <x:c r="F10" s="80"/>
      <x:c r="G10" s="25"/>
      <x:c r="H10" s="27"/>
      <x:c r="I10" s="89"/>
      <x:c r="J10" s="89"/>
      <x:c r="K10" s="89"/>
      <x:c r="L10" s="24"/>
      <x:c r="M10" s="24"/>
    </x:row>
    <x:row r="11">
      <x:c r="A11" s="80"/>
      <x:c r="B11" s="80"/>
      <x:c r="C11" s="25"/>
      <x:c r="D11" s="88"/>
      <x:c r="E11" s="25"/>
      <x:c r="F11" s="80"/>
      <x:c r="G11" s="25"/>
      <x:c r="H11" s="27"/>
      <x:c r="I11" s="89"/>
      <x:c r="J11" s="89"/>
      <x:c r="K11" s="89"/>
      <x:c r="L11" s="24"/>
      <x:c r="M11" s="24"/>
    </x:row>
    <x:row r="12">
      <x:c r="A12" s="80"/>
      <x:c r="B12" s="80"/>
      <x:c r="C12" s="25"/>
      <x:c r="D12" s="88"/>
      <x:c r="E12" s="25"/>
      <x:c r="F12" s="80"/>
      <x:c r="G12" s="25"/>
      <x:c r="H12" s="27"/>
      <x:c r="I12" s="89"/>
      <x:c r="J12" s="89"/>
      <x:c r="K12" s="89"/>
      <x:c r="L12" s="24"/>
      <x:c r="M12" s="24"/>
    </x:row>
    <x:row r="13">
      <x:c r="A13" s="80"/>
      <x:c r="B13" s="80"/>
      <x:c r="C13" s="25"/>
      <x:c r="D13" s="88"/>
      <x:c r="E13" s="25"/>
      <x:c r="F13" s="80"/>
      <x:c r="G13" s="25"/>
      <x:c r="H13" s="27"/>
      <x:c r="I13" s="89"/>
      <x:c r="J13" s="89"/>
      <x:c r="K13" s="89"/>
      <x:c r="L13" s="24"/>
      <x:c r="M13" s="24"/>
    </x:row>
    <x:row r="14">
      <x:c r="A14" s="80"/>
      <x:c r="B14" s="80"/>
      <x:c r="C14" s="25"/>
      <x:c r="D14" s="88"/>
      <x:c r="E14" s="25"/>
      <x:c r="F14" s="80"/>
      <x:c r="G14" s="25"/>
      <x:c r="H14" s="27"/>
      <x:c r="I14" s="89"/>
      <x:c r="J14" s="89"/>
      <x:c r="K14" s="89"/>
      <x:c r="L14" s="24"/>
      <x:c r="M14" s="24"/>
    </x:row>
    <x:row r="15">
      <x:c r="A15" s="80"/>
      <x:c r="B15" s="80"/>
      <x:c r="C15" s="25"/>
      <x:c r="D15" s="88"/>
      <x:c r="E15" s="25"/>
      <x:c r="F15" s="80"/>
      <x:c r="G15" s="25"/>
      <x:c r="H15" s="27"/>
      <x:c r="I15" s="89"/>
      <x:c r="J15" s="89"/>
      <x:c r="K15" s="89"/>
      <x:c r="L15" s="24"/>
      <x:c r="M15" s="24"/>
    </x:row>
    <x:row r="16">
      <x:c r="A16" s="80"/>
      <x:c r="B16" s="80"/>
      <x:c r="C16" s="25"/>
      <x:c r="D16" s="88"/>
      <x:c r="E16" s="25"/>
      <x:c r="F16" s="80"/>
      <x:c r="G16" s="25"/>
      <x:c r="H16" s="27"/>
      <x:c r="I16" s="89"/>
      <x:c r="J16" s="89"/>
      <x:c r="K16" s="89"/>
      <x:c r="L16" s="24"/>
      <x:c r="M16" s="24"/>
    </x:row>
    <x:row r="17">
      <x:c r="A17" s="80"/>
      <x:c r="B17" s="80"/>
      <x:c r="C17" s="25"/>
      <x:c r="D17" s="88"/>
      <x:c r="E17" s="25"/>
      <x:c r="F17" s="80"/>
      <x:c r="G17" s="25"/>
      <x:c r="H17" s="27"/>
      <x:c r="I17" s="89"/>
      <x:c r="J17" s="89"/>
      <x:c r="K17" s="89"/>
      <x:c r="L17" s="24"/>
      <x:c r="M17" s="24"/>
    </x:row>
    <x:row r="18">
      <x:c r="A18" s="80"/>
      <x:c r="B18" s="80"/>
      <x:c r="C18" s="25"/>
      <x:c r="D18" s="88"/>
      <x:c r="E18" s="25"/>
      <x:c r="F18" s="80"/>
      <x:c r="G18" s="25"/>
      <x:c r="H18" s="27"/>
      <x:c r="I18" s="89"/>
      <x:c r="J18" s="89"/>
      <x:c r="K18" s="89"/>
      <x:c r="L18" s="24"/>
      <x:c r="M18" s="24"/>
    </x:row>
    <x:row r="19">
      <x:c r="A19" s="80"/>
      <x:c r="B19" s="80"/>
      <x:c r="C19" s="25"/>
      <x:c r="D19" s="88"/>
      <x:c r="E19" s="25"/>
      <x:c r="F19" s="80"/>
      <x:c r="G19" s="25"/>
      <x:c r="H19" s="27"/>
      <x:c r="I19" s="89"/>
      <x:c r="J19" s="89"/>
      <x:c r="K19" s="89"/>
      <x:c r="L19" s="24"/>
      <x:c r="M19" s="24"/>
    </x:row>
    <x:row r="20">
      <x:c r="A20" s="80"/>
      <x:c r="B20" s="80"/>
      <x:c r="C20" s="25"/>
      <x:c r="D20" s="88"/>
      <x:c r="E20" s="25"/>
      <x:c r="F20" s="80"/>
      <x:c r="G20" s="25"/>
      <x:c r="H20" s="27"/>
      <x:c r="I20" s="89"/>
      <x:c r="J20" s="89"/>
      <x:c r="K20" s="89"/>
      <x:c r="L20" s="24"/>
      <x:c r="M20" s="24"/>
    </x:row>
    <x:row r="21">
      <x:c r="A21" s="80"/>
      <x:c r="B21" s="80"/>
      <x:c r="C21" s="25"/>
      <x:c r="D21" s="88"/>
      <x:c r="E21" s="25"/>
      <x:c r="F21" s="80"/>
      <x:c r="G21" s="25"/>
      <x:c r="H21" s="27"/>
      <x:c r="I21" s="89"/>
      <x:c r="J21" s="89"/>
      <x:c r="K21" s="89"/>
      <x:c r="L21" s="24"/>
      <x:c r="M21" s="24"/>
    </x:row>
    <x:row r="22">
      <x:c r="A22" s="80"/>
      <x:c r="B22" s="80"/>
      <x:c r="C22" s="25"/>
      <x:c r="D22" s="88"/>
      <x:c r="E22" s="25"/>
      <x:c r="F22" s="80"/>
      <x:c r="G22" s="25"/>
      <x:c r="H22" s="27"/>
      <x:c r="I22" s="89"/>
      <x:c r="J22" s="89"/>
      <x:c r="K22" s="89"/>
      <x:c r="L22" s="24"/>
      <x:c r="M22" s="24"/>
    </x:row>
    <x:row r="23">
      <x:c r="A23" s="80"/>
      <x:c r="B23" s="80"/>
      <x:c r="C23" s="25"/>
      <x:c r="D23" s="88"/>
      <x:c r="E23" s="25"/>
      <x:c r="F23" s="80"/>
      <x:c r="G23" s="25"/>
      <x:c r="H23" s="27"/>
      <x:c r="I23" s="89"/>
      <x:c r="J23" s="89"/>
      <x:c r="K23" s="89"/>
      <x:c r="L23" s="24"/>
      <x:c r="M23" s="24"/>
    </x:row>
    <x:row r="24">
      <x:c r="A24" s="80"/>
      <x:c r="B24" s="80"/>
      <x:c r="C24" s="25"/>
      <x:c r="D24" s="88"/>
      <x:c r="E24" s="25"/>
      <x:c r="F24" s="80"/>
      <x:c r="G24" s="25"/>
      <x:c r="H24" s="27"/>
      <x:c r="I24" s="89"/>
      <x:c r="J24" s="89"/>
      <x:c r="K24" s="89"/>
      <x:c r="L24" s="24"/>
      <x:c r="M24" s="24"/>
    </x:row>
    <x:row r="25">
      <x:c r="A25" s="80"/>
      <x:c r="B25" s="80"/>
      <x:c r="C25" s="25"/>
      <x:c r="D25" s="88"/>
      <x:c r="E25" s="25"/>
      <x:c r="F25" s="80"/>
      <x:c r="G25" s="25"/>
      <x:c r="H25" s="27"/>
      <x:c r="I25" s="89"/>
      <x:c r="J25" s="89"/>
      <x:c r="K25" s="89"/>
      <x:c r="L25" s="24"/>
      <x:c r="M25" s="24"/>
    </x:row>
    <x:row r="26">
      <x:c r="A26" s="80"/>
      <x:c r="B26" s="80"/>
      <x:c r="C26" s="25"/>
      <x:c r="D26" s="88"/>
      <x:c r="E26" s="25"/>
      <x:c r="F26" s="80"/>
      <x:c r="G26" s="25"/>
      <x:c r="H26" s="27"/>
      <x:c r="I26" s="89"/>
      <x:c r="J26" s="89"/>
      <x:c r="K26" s="89"/>
      <x:c r="L26" s="24"/>
      <x:c r="M26" s="24"/>
    </x:row>
    <x:row r="27">
      <x:c r="A27" s="80"/>
      <x:c r="B27" s="80"/>
      <x:c r="C27" s="25"/>
      <x:c r="D27" s="88"/>
      <x:c r="E27" s="25"/>
      <x:c r="F27" s="80"/>
      <x:c r="G27" s="25"/>
      <x:c r="H27" s="27"/>
      <x:c r="I27" s="89"/>
      <x:c r="J27" s="89"/>
      <x:c r="K27" s="89"/>
      <x:c r="L27" s="24"/>
      <x:c r="M27" s="24"/>
    </x:row>
    <x:row r="28">
      <x:c r="A28" s="80"/>
      <x:c r="B28" s="80"/>
      <x:c r="C28" s="25"/>
      <x:c r="D28" s="88"/>
      <x:c r="E28" s="25"/>
      <x:c r="F28" s="80"/>
      <x:c r="G28" s="25"/>
      <x:c r="H28" s="27"/>
      <x:c r="I28" s="89"/>
      <x:c r="J28" s="89"/>
      <x:c r="K28" s="89"/>
      <x:c r="L28" s="24"/>
      <x:c r="M28" s="24"/>
    </x:row>
    <x:row r="29">
      <x:c r="A29" s="80"/>
      <x:c r="B29" s="80"/>
      <x:c r="C29" s="25"/>
      <x:c r="D29" s="88"/>
      <x:c r="E29" s="25"/>
      <x:c r="F29" s="80"/>
      <x:c r="G29" s="25"/>
      <x:c r="H29" s="27"/>
      <x:c r="I29" s="89"/>
      <x:c r="J29" s="89"/>
      <x:c r="K29" s="89"/>
      <x:c r="L29" s="24"/>
      <x:c r="M29" s="24"/>
    </x:row>
    <x:row r="30">
      <x:c r="A30" s="80"/>
      <x:c r="B30" s="80"/>
      <x:c r="C30" s="25"/>
      <x:c r="D30" s="88"/>
      <x:c r="E30" s="25"/>
      <x:c r="F30" s="80"/>
      <x:c r="G30" s="25"/>
      <x:c r="H30" s="27"/>
      <x:c r="I30" s="89"/>
      <x:c r="J30" s="89"/>
      <x:c r="K30" s="89"/>
      <x:c r="L30" s="24"/>
      <x:c r="M30" s="24"/>
    </x:row>
    <x:row r="31">
      <x:c r="A31" s="80"/>
      <x:c r="B31" s="80"/>
      <x:c r="C31" s="25"/>
      <x:c r="D31" s="88"/>
      <x:c r="E31" s="25"/>
      <x:c r="F31" s="80"/>
      <x:c r="G31" s="25"/>
      <x:c r="H31" s="27"/>
      <x:c r="I31" s="89"/>
      <x:c r="J31" s="89"/>
      <x:c r="K31" s="89"/>
      <x:c r="L31" s="24"/>
      <x:c r="M31" s="24"/>
    </x:row>
    <x:row r="32">
      <x:c r="A32" s="80"/>
      <x:c r="B32" s="80"/>
      <x:c r="C32" s="25"/>
      <x:c r="D32" s="88"/>
      <x:c r="E32" s="25"/>
      <x:c r="F32" s="80"/>
      <x:c r="G32" s="25"/>
      <x:c r="H32" s="27"/>
      <x:c r="I32" s="89"/>
      <x:c r="J32" s="89"/>
      <x:c r="K32" s="89"/>
      <x:c r="L32" s="24"/>
      <x:c r="M32" s="24"/>
    </x:row>
    <x:row r="33">
      <x:c r="A33" s="80"/>
      <x:c r="B33" s="80"/>
      <x:c r="C33" s="25"/>
      <x:c r="D33" s="88"/>
      <x:c r="E33" s="25"/>
      <x:c r="F33" s="80"/>
      <x:c r="G33" s="25"/>
      <x:c r="H33" s="27"/>
      <x:c r="I33" s="89"/>
      <x:c r="J33" s="89"/>
      <x:c r="K33" s="89"/>
      <x:c r="L33" s="24"/>
      <x:c r="M33" s="24"/>
    </x:row>
    <x:row r="34">
      <x:c r="A34" s="80"/>
      <x:c r="B34" s="80"/>
      <x:c r="C34" s="25"/>
      <x:c r="D34" s="88"/>
      <x:c r="E34" s="25"/>
      <x:c r="F34" s="80"/>
      <x:c r="G34" s="25"/>
      <x:c r="H34" s="27"/>
      <x:c r="I34" s="89"/>
      <x:c r="J34" s="89"/>
      <x:c r="K34" s="89"/>
      <x:c r="L34" s="24"/>
      <x:c r="M34" s="24"/>
    </x:row>
    <x:row r="35">
      <x:c r="A35" s="80"/>
      <x:c r="B35" s="80"/>
      <x:c r="C35" s="25"/>
      <x:c r="D35" s="88"/>
      <x:c r="E35" s="25"/>
      <x:c r="F35" s="80"/>
      <x:c r="G35" s="25"/>
      <x:c r="H35" s="27"/>
      <x:c r="I35" s="89"/>
      <x:c r="J35" s="89"/>
      <x:c r="K35" s="89"/>
      <x:c r="L35" s="24"/>
      <x:c r="M35" s="24"/>
    </x:row>
    <x:row r="36">
      <x:c r="A36" s="80"/>
      <x:c r="B36" s="80"/>
      <x:c r="C36" s="25"/>
      <x:c r="D36" s="88"/>
      <x:c r="E36" s="25"/>
      <x:c r="F36" s="80"/>
      <x:c r="G36" s="25"/>
      <x:c r="H36" s="27"/>
      <x:c r="I36" s="89"/>
      <x:c r="J36" s="89"/>
      <x:c r="K36" s="89"/>
      <x:c r="L36" s="24"/>
      <x:c r="M36" s="24"/>
    </x:row>
    <x:row r="37">
      <x:c r="A37" s="80"/>
      <x:c r="B37" s="80"/>
      <x:c r="C37" s="25"/>
      <x:c r="D37" s="88"/>
      <x:c r="E37" s="25"/>
      <x:c r="F37" s="80"/>
      <x:c r="G37" s="25"/>
      <x:c r="H37" s="27"/>
      <x:c r="I37" s="89"/>
      <x:c r="J37" s="89"/>
      <x:c r="K37" s="89"/>
      <x:c r="L37" s="24"/>
      <x:c r="M37" s="24"/>
    </x:row>
    <x:row r="38">
      <x:c r="A38" s="80"/>
      <x:c r="B38" s="80"/>
      <x:c r="C38" s="25"/>
      <x:c r="D38" s="88"/>
      <x:c r="E38" s="25"/>
      <x:c r="F38" s="80"/>
      <x:c r="G38" s="25"/>
      <x:c r="H38" s="27"/>
      <x:c r="I38" s="89"/>
      <x:c r="J38" s="89"/>
      <x:c r="K38" s="89"/>
      <x:c r="L38" s="24"/>
      <x:c r="M38" s="24"/>
    </x:row>
    <x:row r="39">
      <x:c r="A39" s="80"/>
      <x:c r="B39" s="80"/>
      <x:c r="C39" s="25"/>
      <x:c r="D39" s="88"/>
      <x:c r="E39" s="25"/>
      <x:c r="F39" s="80"/>
      <x:c r="G39" s="25"/>
      <x:c r="H39" s="27"/>
      <x:c r="I39" s="89"/>
      <x:c r="J39" s="89"/>
      <x:c r="K39" s="89"/>
      <x:c r="L39" s="24"/>
      <x:c r="M39" s="24"/>
    </x:row>
    <x:row r="40">
      <x:c r="A40" s="80"/>
      <x:c r="B40" s="80"/>
      <x:c r="C40" s="25"/>
      <x:c r="D40" s="88"/>
      <x:c r="E40" s="25"/>
      <x:c r="F40" s="80"/>
      <x:c r="G40" s="25"/>
      <x:c r="H40" s="27"/>
      <x:c r="I40" s="89"/>
      <x:c r="J40" s="89"/>
      <x:c r="K40" s="89"/>
      <x:c r="L40" s="24"/>
      <x:c r="M40" s="24"/>
    </x:row>
    <x:row r="41">
      <x:c r="A41" s="80"/>
      <x:c r="B41" s="80"/>
      <x:c r="C41" s="25"/>
      <x:c r="D41" s="88"/>
      <x:c r="E41" s="25"/>
      <x:c r="F41" s="80"/>
      <x:c r="G41" s="25"/>
      <x:c r="H41" s="27"/>
      <x:c r="I41" s="89"/>
      <x:c r="J41" s="89"/>
      <x:c r="K41" s="89"/>
      <x:c r="L41" s="24"/>
      <x:c r="M41" s="24"/>
    </x:row>
    <x:row r="42">
      <x:c r="A42" s="80"/>
      <x:c r="B42" s="80"/>
      <x:c r="C42" s="25"/>
      <x:c r="D42" s="88"/>
      <x:c r="E42" s="25"/>
      <x:c r="F42" s="80"/>
      <x:c r="G42" s="25"/>
      <x:c r="H42" s="27"/>
      <x:c r="I42" s="89"/>
      <x:c r="J42" s="89"/>
      <x:c r="K42" s="89"/>
      <x:c r="L42" s="24"/>
      <x:c r="M42" s="24"/>
    </x:row>
    <x:row r="43">
      <x:c r="A43" s="80"/>
      <x:c r="B43" s="80"/>
      <x:c r="C43" s="25"/>
      <x:c r="D43" s="88"/>
      <x:c r="E43" s="25"/>
      <x:c r="F43" s="80"/>
      <x:c r="G43" s="25"/>
      <x:c r="H43" s="27"/>
      <x:c r="I43" s="89"/>
      <x:c r="J43" s="89"/>
      <x:c r="K43" s="89"/>
      <x:c r="L43" s="24"/>
      <x:c r="M43" s="24"/>
    </x:row>
    <x:row r="44">
      <x:c r="A44" s="80"/>
      <x:c r="B44" s="80"/>
      <x:c r="C44" s="25"/>
      <x:c r="D44" s="88"/>
      <x:c r="E44" s="25"/>
      <x:c r="F44" s="80"/>
      <x:c r="G44" s="25"/>
      <x:c r="H44" s="27"/>
      <x:c r="I44" s="89"/>
      <x:c r="J44" s="89"/>
      <x:c r="K44" s="89"/>
      <x:c r="L44" s="24"/>
      <x:c r="M44" s="24"/>
    </x:row>
    <x:row r="45">
      <x:c r="A45" s="80"/>
      <x:c r="B45" s="80"/>
      <x:c r="C45" s="25"/>
      <x:c r="D45" s="88"/>
      <x:c r="E45" s="25"/>
      <x:c r="F45" s="80"/>
      <x:c r="G45" s="25"/>
      <x:c r="H45" s="27"/>
      <x:c r="I45" s="89"/>
      <x:c r="J45" s="89"/>
      <x:c r="K45" s="89"/>
      <x:c r="L45" s="24"/>
      <x:c r="M45" s="24"/>
    </x:row>
    <x:row r="46">
      <x:c r="A46" s="80"/>
      <x:c r="B46" s="80"/>
      <x:c r="C46" s="25"/>
      <x:c r="D46" s="88"/>
      <x:c r="E46" s="25"/>
      <x:c r="F46" s="80"/>
      <x:c r="G46" s="25"/>
      <x:c r="H46" s="27"/>
      <x:c r="I46" s="89"/>
      <x:c r="J46" s="89"/>
      <x:c r="K46" s="89"/>
      <x:c r="L46" s="24"/>
      <x:c r="M46" s="24"/>
    </x:row>
    <x:row r="47">
      <x:c r="A47" s="80"/>
      <x:c r="B47" s="80"/>
      <x:c r="C47" s="25"/>
      <x:c r="D47" s="88"/>
      <x:c r="E47" s="25"/>
      <x:c r="F47" s="80"/>
      <x:c r="G47" s="25"/>
      <x:c r="H47" s="27"/>
      <x:c r="I47" s="89"/>
      <x:c r="J47" s="89"/>
      <x:c r="K47" s="89"/>
      <x:c r="L47" s="24"/>
      <x:c r="M47" s="24"/>
    </x:row>
    <x:row r="48">
      <x:c r="A48" s="80"/>
      <x:c r="B48" s="80"/>
      <x:c r="C48" s="25"/>
      <x:c r="D48" s="88"/>
      <x:c r="E48" s="25"/>
      <x:c r="F48" s="80"/>
      <x:c r="G48" s="25"/>
      <x:c r="H48" s="27"/>
      <x:c r="I48" s="89"/>
      <x:c r="J48" s="89"/>
      <x:c r="K48" s="89"/>
      <x:c r="L48" s="24"/>
      <x:c r="M48" s="24"/>
    </x:row>
    <x:row r="49">
      <x:c r="A49" s="80"/>
      <x:c r="B49" s="80"/>
      <x:c r="C49" s="25"/>
      <x:c r="D49" s="88"/>
      <x:c r="E49" s="25"/>
      <x:c r="F49" s="80"/>
      <x:c r="G49" s="25"/>
      <x:c r="H49" s="27"/>
      <x:c r="I49" s="89"/>
      <x:c r="J49" s="89"/>
      <x:c r="K49" s="89"/>
      <x:c r="L49" s="24"/>
      <x:c r="M49" s="24"/>
    </x:row>
    <x:row r="50">
      <x:c r="A50" s="80"/>
      <x:c r="B50" s="80"/>
      <x:c r="C50" s="25"/>
      <x:c r="D50" s="88"/>
      <x:c r="E50" s="25"/>
      <x:c r="F50" s="80"/>
      <x:c r="G50" s="25"/>
      <x:c r="H50" s="27"/>
      <x:c r="I50" s="89"/>
      <x:c r="J50" s="89"/>
      <x:c r="K50" s="89"/>
      <x:c r="L50" s="24"/>
      <x:c r="M50" s="24"/>
    </x:row>
    <x:row r="51">
      <x:c r="A51" s="80"/>
      <x:c r="B51" s="80"/>
      <x:c r="C51" s="25"/>
      <x:c r="D51" s="88"/>
      <x:c r="E51" s="25"/>
      <x:c r="F51" s="80"/>
      <x:c r="G51" s="25"/>
      <x:c r="H51" s="27"/>
      <x:c r="I51" s="89"/>
      <x:c r="J51" s="89"/>
      <x:c r="K51" s="89"/>
      <x:c r="L51" s="24"/>
      <x:c r="M51" s="24"/>
    </x:row>
    <x:row r="52">
      <x:c r="A52" s="80"/>
      <x:c r="B52" s="80"/>
      <x:c r="C52" s="25"/>
      <x:c r="D52" s="88"/>
      <x:c r="E52" s="25"/>
      <x:c r="F52" s="80"/>
      <x:c r="G52" s="25"/>
      <x:c r="H52" s="27"/>
      <x:c r="I52" s="89"/>
      <x:c r="J52" s="89"/>
      <x:c r="K52" s="89"/>
      <x:c r="L52" s="24"/>
      <x:c r="M52" s="24"/>
    </x:row>
    <x:row r="53">
      <x:c r="A53" s="80"/>
      <x:c r="B53" s="80"/>
      <x:c r="C53" s="25"/>
      <x:c r="D53" s="88"/>
      <x:c r="E53" s="25"/>
      <x:c r="F53" s="80"/>
      <x:c r="G53" s="25"/>
      <x:c r="H53" s="27"/>
      <x:c r="I53" s="89"/>
      <x:c r="J53" s="89"/>
      <x:c r="K53" s="89"/>
      <x:c r="L53" s="24"/>
      <x:c r="M53" s="24"/>
    </x:row>
    <x:row r="54">
      <x:c r="A54" s="80"/>
      <x:c r="B54" s="80"/>
      <x:c r="C54" s="25"/>
      <x:c r="D54" s="88"/>
      <x:c r="E54" s="25"/>
      <x:c r="F54" s="80"/>
      <x:c r="G54" s="25"/>
      <x:c r="H54" s="27"/>
      <x:c r="I54" s="89"/>
      <x:c r="J54" s="89"/>
      <x:c r="K54" s="89"/>
      <x:c r="L54" s="24"/>
      <x:c r="M54" s="24"/>
    </x:row>
    <x:row r="55">
      <x:c r="A55" s="80"/>
      <x:c r="B55" s="80"/>
      <x:c r="C55" s="25"/>
      <x:c r="D55" s="88"/>
      <x:c r="E55" s="25"/>
      <x:c r="F55" s="80"/>
      <x:c r="G55" s="25"/>
      <x:c r="H55" s="27"/>
      <x:c r="I55" s="89"/>
      <x:c r="J55" s="89"/>
      <x:c r="K55" s="89"/>
      <x:c r="L55" s="24"/>
      <x:c r="M55" s="24"/>
    </x:row>
    <x:row r="56">
      <x:c r="A56" s="80"/>
      <x:c r="B56" s="80"/>
      <x:c r="C56" s="25"/>
      <x:c r="D56" s="88"/>
      <x:c r="E56" s="25"/>
      <x:c r="F56" s="80"/>
      <x:c r="G56" s="25"/>
      <x:c r="H56" s="27"/>
      <x:c r="I56" s="89"/>
      <x:c r="J56" s="89"/>
      <x:c r="K56" s="89"/>
      <x:c r="L56" s="24"/>
      <x:c r="M56" s="24"/>
    </x:row>
    <x:row r="57">
      <x:c r="A57" s="80"/>
      <x:c r="B57" s="80"/>
      <x:c r="C57" s="25"/>
      <x:c r="D57" s="88"/>
      <x:c r="E57" s="25"/>
      <x:c r="F57" s="80"/>
      <x:c r="G57" s="25"/>
      <x:c r="H57" s="27"/>
      <x:c r="I57" s="89"/>
      <x:c r="J57" s="89"/>
      <x:c r="K57" s="89"/>
      <x:c r="L57" s="24"/>
      <x:c r="M57" s="24"/>
    </x:row>
    <x:row r="58">
      <x:c r="A58" s="80"/>
      <x:c r="B58" s="80"/>
      <x:c r="C58" s="25"/>
      <x:c r="D58" s="88"/>
      <x:c r="E58" s="25"/>
      <x:c r="F58" s="80"/>
      <x:c r="G58" s="25"/>
      <x:c r="H58" s="27"/>
      <x:c r="I58" s="89"/>
      <x:c r="J58" s="89"/>
      <x:c r="K58" s="89"/>
      <x:c r="L58" s="24"/>
      <x:c r="M58" s="24"/>
    </x:row>
    <x:row r="59">
      <x:c r="A59" s="80"/>
      <x:c r="B59" s="80"/>
      <x:c r="C59" s="25"/>
      <x:c r="D59" s="88"/>
      <x:c r="E59" s="25"/>
      <x:c r="F59" s="80"/>
      <x:c r="G59" s="25"/>
      <x:c r="H59" s="27"/>
      <x:c r="I59" s="89"/>
      <x:c r="J59" s="89"/>
      <x:c r="K59" s="89"/>
      <x:c r="L59" s="24"/>
      <x:c r="M59" s="24"/>
    </x:row>
    <x:row r="60">
      <x:c r="A60" s="80"/>
      <x:c r="B60" s="80"/>
      <x:c r="C60" s="25"/>
      <x:c r="D60" s="88"/>
      <x:c r="E60" s="25"/>
      <x:c r="F60" s="80"/>
      <x:c r="G60" s="25"/>
      <x:c r="H60" s="27"/>
      <x:c r="I60" s="89"/>
      <x:c r="J60" s="89"/>
      <x:c r="K60" s="89"/>
      <x:c r="L60" s="24"/>
      <x:c r="M60" s="24"/>
    </x:row>
    <x:row r="61">
      <x:c r="A61" s="80"/>
      <x:c r="B61" s="80"/>
      <x:c r="C61" s="25"/>
      <x:c r="D61" s="88"/>
      <x:c r="E61" s="25"/>
      <x:c r="F61" s="80"/>
      <x:c r="G61" s="25"/>
      <x:c r="H61" s="27"/>
      <x:c r="I61" s="89"/>
      <x:c r="J61" s="89"/>
      <x:c r="K61" s="89"/>
      <x:c r="L61" s="24"/>
      <x:c r="M61" s="24"/>
    </x:row>
    <x:row r="62">
      <x:c r="A62" s="80"/>
      <x:c r="B62" s="80"/>
      <x:c r="C62" s="25"/>
      <x:c r="D62" s="88"/>
      <x:c r="E62" s="25"/>
      <x:c r="F62" s="80"/>
      <x:c r="G62" s="25"/>
      <x:c r="H62" s="27"/>
      <x:c r="I62" s="89"/>
      <x:c r="J62" s="89"/>
      <x:c r="K62" s="89"/>
      <x:c r="L62" s="24"/>
      <x:c r="M62" s="24"/>
    </x:row>
    <x:row r="63">
      <x:c r="A63" s="80"/>
      <x:c r="B63" s="80"/>
      <x:c r="C63" s="25"/>
      <x:c r="D63" s="88"/>
      <x:c r="E63" s="25"/>
      <x:c r="F63" s="80"/>
      <x:c r="G63" s="25"/>
      <x:c r="H63" s="27"/>
      <x:c r="I63" s="89"/>
      <x:c r="J63" s="89"/>
      <x:c r="K63" s="89"/>
      <x:c r="L63" s="24"/>
      <x:c r="M63" s="24"/>
    </x:row>
    <x:row r="64">
      <x:c r="A64" s="80"/>
      <x:c r="B64" s="80"/>
      <x:c r="C64" s="25"/>
      <x:c r="D64" s="88"/>
      <x:c r="E64" s="25"/>
      <x:c r="F64" s="80"/>
      <x:c r="G64" s="25"/>
      <x:c r="H64" s="27"/>
      <x:c r="I64" s="89"/>
      <x:c r="J64" s="89"/>
      <x:c r="K64" s="89"/>
      <x:c r="L64" s="24"/>
      <x:c r="M64" s="24"/>
    </x:row>
    <x:row r="65">
      <x:c r="A65" s="80"/>
      <x:c r="B65" s="80"/>
      <x:c r="C65" s="25"/>
      <x:c r="D65" s="88"/>
      <x:c r="E65" s="25"/>
      <x:c r="F65" s="80"/>
      <x:c r="G65" s="25"/>
      <x:c r="H65" s="27"/>
      <x:c r="I65" s="89"/>
      <x:c r="J65" s="89"/>
      <x:c r="K65" s="89"/>
      <x:c r="L65" s="24"/>
      <x:c r="M65" s="24"/>
    </x:row>
    <x:row r="66">
      <x:c r="A66" s="80"/>
      <x:c r="B66" s="80"/>
      <x:c r="C66" s="25"/>
      <x:c r="D66" s="88"/>
      <x:c r="E66" s="25"/>
      <x:c r="F66" s="80"/>
      <x:c r="G66" s="25"/>
      <x:c r="H66" s="27"/>
      <x:c r="I66" s="89"/>
      <x:c r="J66" s="89"/>
      <x:c r="K66" s="89"/>
      <x:c r="L66" s="24"/>
      <x:c r="M66" s="24"/>
    </x:row>
    <x:row r="67">
      <x:c r="A67" s="80"/>
      <x:c r="B67" s="80"/>
      <x:c r="C67" s="25"/>
      <x:c r="D67" s="88"/>
      <x:c r="E67" s="25"/>
      <x:c r="F67" s="80"/>
      <x:c r="G67" s="25"/>
      <x:c r="H67" s="27"/>
      <x:c r="I67" s="89"/>
      <x:c r="J67" s="89"/>
      <x:c r="K67" s="89"/>
      <x:c r="L67" s="24"/>
      <x:c r="M67" s="24"/>
    </x:row>
    <x:row r="68">
      <x:c r="A68" s="80"/>
      <x:c r="B68" s="80"/>
      <x:c r="C68" s="25"/>
      <x:c r="D68" s="88"/>
      <x:c r="E68" s="25"/>
      <x:c r="F68" s="80"/>
      <x:c r="G68" s="25"/>
      <x:c r="H68" s="27"/>
      <x:c r="I68" s="89"/>
      <x:c r="J68" s="89"/>
      <x:c r="K68" s="89"/>
      <x:c r="L68" s="24"/>
      <x:c r="M68" s="24"/>
    </x:row>
    <x:row r="69">
      <x:c r="A69" s="80"/>
      <x:c r="B69" s="80"/>
      <x:c r="C69" s="25"/>
      <x:c r="D69" s="88"/>
      <x:c r="E69" s="25"/>
      <x:c r="F69" s="80"/>
      <x:c r="G69" s="25"/>
      <x:c r="H69" s="27"/>
      <x:c r="I69" s="89"/>
      <x:c r="J69" s="89"/>
      <x:c r="K69" s="89"/>
      <x:c r="L69" s="24"/>
      <x:c r="M69" s="24"/>
    </x:row>
    <x:row r="70">
      <x:c r="A70" s="80"/>
      <x:c r="B70" s="80"/>
      <x:c r="C70" s="25"/>
      <x:c r="D70" s="88"/>
      <x:c r="E70" s="25"/>
      <x:c r="F70" s="80"/>
      <x:c r="G70" s="25"/>
      <x:c r="H70" s="27"/>
      <x:c r="I70" s="89"/>
      <x:c r="J70" s="89"/>
      <x:c r="K70" s="89"/>
      <x:c r="L70" s="24"/>
      <x:c r="M70" s="24"/>
    </x:row>
    <x:row r="71">
      <x:c r="A71" s="80"/>
      <x:c r="B71" s="80"/>
      <x:c r="C71" s="25"/>
      <x:c r="D71" s="88"/>
      <x:c r="E71" s="25"/>
      <x:c r="F71" s="80"/>
      <x:c r="G71" s="25"/>
      <x:c r="H71" s="27"/>
      <x:c r="I71" s="89"/>
      <x:c r="J71" s="89"/>
      <x:c r="K71" s="89"/>
      <x:c r="L71" s="24"/>
      <x:c r="M71" s="24"/>
    </x:row>
    <x:row r="72">
      <x:c r="A72" s="80"/>
      <x:c r="B72" s="80"/>
      <x:c r="C72" s="25"/>
      <x:c r="D72" s="88"/>
      <x:c r="E72" s="25"/>
      <x:c r="F72" s="80"/>
      <x:c r="G72" s="25"/>
      <x:c r="H72" s="27"/>
      <x:c r="I72" s="89"/>
      <x:c r="J72" s="89"/>
      <x:c r="K72" s="89"/>
      <x:c r="L72" s="24"/>
      <x:c r="M72" s="24"/>
    </x:row>
    <x:row r="73">
      <x:c r="A73" s="80"/>
      <x:c r="B73" s="80"/>
      <x:c r="C73" s="25"/>
      <x:c r="D73" s="88"/>
      <x:c r="E73" s="25"/>
      <x:c r="F73" s="80"/>
      <x:c r="G73" s="25"/>
      <x:c r="H73" s="27"/>
      <x:c r="I73" s="89"/>
      <x:c r="J73" s="89"/>
      <x:c r="K73" s="89"/>
      <x:c r="L73" s="24"/>
      <x:c r="M73" s="24"/>
    </x:row>
    <x:row r="74">
      <x:c r="A74" s="80"/>
      <x:c r="B74" s="80"/>
      <x:c r="C74" s="25"/>
      <x:c r="D74" s="88"/>
      <x:c r="E74" s="25"/>
      <x:c r="F74" s="80"/>
      <x:c r="G74" s="25"/>
      <x:c r="H74" s="27"/>
      <x:c r="I74" s="89"/>
      <x:c r="J74" s="89"/>
      <x:c r="K74" s="89"/>
      <x:c r="L74" s="24"/>
      <x:c r="M74" s="24"/>
    </x:row>
    <x:row r="75">
      <x:c r="A75" s="80"/>
      <x:c r="B75" s="80"/>
      <x:c r="C75" s="25"/>
      <x:c r="D75" s="88"/>
      <x:c r="E75" s="25"/>
      <x:c r="F75" s="80"/>
      <x:c r="G75" s="25"/>
      <x:c r="H75" s="27"/>
      <x:c r="I75" s="89"/>
      <x:c r="J75" s="89"/>
      <x:c r="K75" s="89"/>
      <x:c r="L75" s="24"/>
      <x:c r="M75" s="24"/>
    </x:row>
    <x:row r="76">
      <x:c r="A76" s="80"/>
      <x:c r="B76" s="80"/>
      <x:c r="C76" s="25"/>
      <x:c r="D76" s="88"/>
      <x:c r="E76" s="25"/>
      <x:c r="F76" s="80"/>
      <x:c r="G76" s="25"/>
      <x:c r="H76" s="27"/>
      <x:c r="I76" s="89"/>
      <x:c r="J76" s="89"/>
      <x:c r="K76" s="89"/>
      <x:c r="L76" s="24"/>
      <x:c r="M76" s="24"/>
    </x:row>
    <x:row r="77">
      <x:c r="A77" s="80"/>
      <x:c r="B77" s="80"/>
      <x:c r="C77" s="25"/>
      <x:c r="D77" s="88"/>
      <x:c r="E77" s="25"/>
      <x:c r="F77" s="80"/>
      <x:c r="G77" s="25"/>
      <x:c r="H77" s="27"/>
      <x:c r="I77" s="89"/>
      <x:c r="J77" s="89"/>
      <x:c r="K77" s="89"/>
      <x:c r="L77" s="24"/>
      <x:c r="M77" s="24"/>
    </x:row>
    <x:row r="78">
      <x:c r="A78" s="80"/>
      <x:c r="B78" s="80"/>
      <x:c r="C78" s="25"/>
      <x:c r="D78" s="88"/>
      <x:c r="E78" s="25"/>
      <x:c r="F78" s="80"/>
      <x:c r="G78" s="25"/>
      <x:c r="H78" s="27"/>
      <x:c r="I78" s="89"/>
      <x:c r="J78" s="89"/>
      <x:c r="K78" s="89"/>
      <x:c r="L78" s="24"/>
      <x:c r="M78" s="24"/>
    </x:row>
    <x:row r="79">
      <x:c r="A79" s="80"/>
      <x:c r="B79" s="80"/>
      <x:c r="C79" s="25"/>
      <x:c r="D79" s="88"/>
      <x:c r="E79" s="25"/>
      <x:c r="F79" s="80"/>
      <x:c r="G79" s="25"/>
      <x:c r="H79" s="27"/>
      <x:c r="I79" s="89"/>
      <x:c r="J79" s="89"/>
      <x:c r="K79" s="89"/>
      <x:c r="L79" s="24"/>
      <x:c r="M79" s="24"/>
    </x:row>
    <x:row r="80">
      <x:c r="A80" s="80"/>
      <x:c r="B80" s="80"/>
      <x:c r="C80" s="25"/>
      <x:c r="D80" s="88"/>
      <x:c r="E80" s="25"/>
      <x:c r="F80" s="80"/>
      <x:c r="G80" s="25"/>
      <x:c r="H80" s="27"/>
      <x:c r="I80" s="89"/>
      <x:c r="J80" s="89"/>
      <x:c r="K80" s="89"/>
      <x:c r="L80" s="24"/>
      <x:c r="M80" s="24"/>
    </x:row>
    <x:row r="81">
      <x:c r="A81" s="80"/>
      <x:c r="B81" s="80"/>
      <x:c r="C81" s="25"/>
      <x:c r="D81" s="88"/>
      <x:c r="E81" s="25"/>
      <x:c r="F81" s="80"/>
      <x:c r="G81" s="25"/>
      <x:c r="H81" s="27"/>
      <x:c r="I81" s="89"/>
      <x:c r="J81" s="89"/>
      <x:c r="K81" s="89"/>
      <x:c r="L81" s="24"/>
      <x:c r="M81" s="24"/>
    </x:row>
    <x:row r="82">
      <x:c r="A82" s="80"/>
      <x:c r="B82" s="80"/>
      <x:c r="C82" s="25"/>
      <x:c r="D82" s="88"/>
      <x:c r="E82" s="25"/>
      <x:c r="F82" s="80"/>
      <x:c r="G82" s="25"/>
      <x:c r="H82" s="27"/>
      <x:c r="I82" s="89"/>
      <x:c r="J82" s="89"/>
      <x:c r="K82" s="89"/>
      <x:c r="L82" s="24"/>
      <x:c r="M82" s="24"/>
    </x:row>
    <x:row r="83">
      <x:c r="A83" s="80"/>
      <x:c r="B83" s="80"/>
      <x:c r="C83" s="25"/>
      <x:c r="D83" s="88"/>
      <x:c r="E83" s="25"/>
      <x:c r="F83" s="80"/>
      <x:c r="G83" s="25"/>
      <x:c r="H83" s="27"/>
      <x:c r="I83" s="89"/>
      <x:c r="J83" s="89"/>
      <x:c r="K83" s="89"/>
      <x:c r="L83" s="24"/>
      <x:c r="M83" s="24"/>
    </x:row>
    <x:row r="84">
      <x:c r="A84" s="80"/>
      <x:c r="B84" s="80"/>
      <x:c r="C84" s="25"/>
      <x:c r="D84" s="88"/>
      <x:c r="E84" s="25"/>
      <x:c r="F84" s="80"/>
      <x:c r="G84" s="25"/>
      <x:c r="H84" s="27"/>
      <x:c r="I84" s="89"/>
      <x:c r="J84" s="89"/>
      <x:c r="K84" s="89"/>
      <x:c r="L84" s="24"/>
      <x:c r="M84" s="24"/>
    </x:row>
    <x:row r="85">
      <x:c r="A85" s="80"/>
      <x:c r="B85" s="80"/>
      <x:c r="C85" s="25"/>
      <x:c r="D85" s="88"/>
      <x:c r="E85" s="25"/>
      <x:c r="F85" s="80"/>
      <x:c r="G85" s="25"/>
      <x:c r="H85" s="27"/>
      <x:c r="I85" s="89"/>
      <x:c r="J85" s="89"/>
      <x:c r="K85" s="89"/>
      <x:c r="L85" s="24"/>
      <x:c r="M85" s="24"/>
    </x:row>
    <x:row r="86">
      <x:c r="A86" s="80"/>
      <x:c r="B86" s="80"/>
      <x:c r="C86" s="25"/>
      <x:c r="D86" s="88"/>
      <x:c r="E86" s="25"/>
      <x:c r="F86" s="80"/>
      <x:c r="G86" s="25"/>
      <x:c r="H86" s="27"/>
      <x:c r="I86" s="89"/>
      <x:c r="J86" s="89"/>
      <x:c r="K86" s="89"/>
      <x:c r="L86" s="24"/>
      <x:c r="M86" s="24"/>
    </x:row>
    <x:row r="87">
      <x:c r="A87" s="80"/>
      <x:c r="B87" s="80"/>
      <x:c r="C87" s="25"/>
      <x:c r="D87" s="88"/>
      <x:c r="E87" s="25"/>
      <x:c r="F87" s="80"/>
      <x:c r="G87" s="25"/>
      <x:c r="H87" s="27"/>
      <x:c r="I87" s="89"/>
      <x:c r="J87" s="89"/>
      <x:c r="K87" s="89"/>
      <x:c r="L87" s="24"/>
      <x:c r="M87" s="24"/>
    </x:row>
    <x:row r="88">
      <x:c r="A88" s="80"/>
      <x:c r="B88" s="80"/>
      <x:c r="C88" s="25"/>
      <x:c r="D88" s="88"/>
      <x:c r="E88" s="25"/>
      <x:c r="F88" s="80"/>
      <x:c r="G88" s="25"/>
      <x:c r="H88" s="27"/>
      <x:c r="I88" s="89"/>
      <x:c r="J88" s="89"/>
      <x:c r="K88" s="89"/>
      <x:c r="L88" s="24"/>
      <x:c r="M88" s="24"/>
    </x:row>
    <x:row r="89">
      <x:c r="A89" s="80"/>
      <x:c r="B89" s="80"/>
      <x:c r="C89" s="25"/>
      <x:c r="D89" s="88"/>
      <x:c r="E89" s="25"/>
      <x:c r="F89" s="80"/>
      <x:c r="G89" s="25"/>
      <x:c r="H89" s="27"/>
      <x:c r="I89" s="89"/>
      <x:c r="J89" s="89"/>
      <x:c r="K89" s="89"/>
      <x:c r="L89" s="24"/>
      <x:c r="M89" s="24"/>
    </x:row>
    <x:row r="90">
      <x:c r="A90" s="80"/>
      <x:c r="B90" s="80"/>
      <x:c r="C90" s="25"/>
      <x:c r="D90" s="88"/>
      <x:c r="E90" s="25"/>
      <x:c r="F90" s="80"/>
      <x:c r="G90" s="25"/>
      <x:c r="H90" s="27"/>
      <x:c r="I90" s="89"/>
      <x:c r="J90" s="89"/>
      <x:c r="K90" s="89"/>
      <x:c r="L90" s="24"/>
      <x:c r="M90" s="24"/>
    </x:row>
    <x:row r="91">
      <x:c r="A91" s="80"/>
      <x:c r="B91" s="80"/>
      <x:c r="C91" s="25"/>
      <x:c r="D91" s="88"/>
      <x:c r="E91" s="25"/>
      <x:c r="F91" s="80"/>
      <x:c r="G91" s="25"/>
      <x:c r="H91" s="27"/>
      <x:c r="I91" s="89"/>
      <x:c r="J91" s="89"/>
      <x:c r="K91" s="89"/>
      <x:c r="L91" s="24"/>
      <x:c r="M91" s="24"/>
    </x:row>
    <x:row r="92">
      <x:c r="A92" s="80"/>
      <x:c r="B92" s="80"/>
      <x:c r="C92" s="25"/>
      <x:c r="D92" s="88"/>
      <x:c r="E92" s="25"/>
      <x:c r="F92" s="80"/>
      <x:c r="G92" s="25"/>
      <x:c r="H92" s="27"/>
      <x:c r="I92" s="89"/>
      <x:c r="J92" s="89"/>
      <x:c r="K92" s="89"/>
      <x:c r="L92" s="24"/>
      <x:c r="M92" s="24"/>
    </x:row>
    <x:row r="93">
      <x:c r="A93" s="80"/>
      <x:c r="B93" s="80"/>
      <x:c r="C93" s="25"/>
      <x:c r="D93" s="88"/>
      <x:c r="E93" s="25"/>
      <x:c r="F93" s="80"/>
      <x:c r="G93" s="25"/>
      <x:c r="H93" s="27"/>
      <x:c r="I93" s="89"/>
      <x:c r="J93" s="89"/>
      <x:c r="K93" s="89"/>
      <x:c r="L93" s="24"/>
      <x:c r="M93" s="24"/>
    </x:row>
    <x:row r="94">
      <x:c r="A94" s="80"/>
      <x:c r="B94" s="80"/>
      <x:c r="C94" s="25"/>
      <x:c r="D94" s="88"/>
      <x:c r="E94" s="25"/>
      <x:c r="F94" s="80"/>
      <x:c r="G94" s="25"/>
      <x:c r="H94" s="27"/>
      <x:c r="I94" s="89"/>
      <x:c r="J94" s="89"/>
      <x:c r="K94" s="89"/>
      <x:c r="L94" s="24"/>
      <x:c r="M94" s="24"/>
    </x:row>
    <x:row r="95">
      <x:c r="A95" s="80"/>
      <x:c r="B95" s="80"/>
      <x:c r="C95" s="25"/>
      <x:c r="D95" s="88"/>
      <x:c r="E95" s="25"/>
      <x:c r="F95" s="80"/>
      <x:c r="G95" s="25"/>
      <x:c r="H95" s="27"/>
      <x:c r="I95" s="89"/>
      <x:c r="J95" s="89"/>
      <x:c r="K95" s="89"/>
      <x:c r="L95" s="24"/>
      <x:c r="M95" s="24"/>
    </x:row>
    <x:row r="96">
      <x:c r="A96" s="80"/>
      <x:c r="B96" s="80"/>
      <x:c r="C96" s="25"/>
      <x:c r="D96" s="88"/>
      <x:c r="E96" s="25"/>
      <x:c r="F96" s="80"/>
      <x:c r="G96" s="25"/>
      <x:c r="H96" s="27"/>
      <x:c r="I96" s="89"/>
      <x:c r="J96" s="89"/>
      <x:c r="K96" s="89"/>
      <x:c r="L96" s="24"/>
      <x:c r="M96" s="24"/>
    </x:row>
    <x:row r="97">
      <x:c r="A97" s="80"/>
      <x:c r="B97" s="80"/>
      <x:c r="C97" s="25"/>
      <x:c r="D97" s="88"/>
      <x:c r="E97" s="25"/>
      <x:c r="F97" s="80"/>
      <x:c r="G97" s="25"/>
      <x:c r="H97" s="27"/>
      <x:c r="I97" s="89"/>
      <x:c r="J97" s="89"/>
      <x:c r="K97" s="89"/>
      <x:c r="L97" s="24"/>
      <x:c r="M97" s="24"/>
    </x:row>
    <x:row r="98">
      <x:c r="A98" s="80"/>
      <x:c r="B98" s="80"/>
      <x:c r="C98" s="25"/>
      <x:c r="D98" s="88"/>
      <x:c r="E98" s="25"/>
      <x:c r="F98" s="80"/>
      <x:c r="G98" s="25"/>
      <x:c r="H98" s="27"/>
      <x:c r="I98" s="89"/>
      <x:c r="J98" s="89"/>
      <x:c r="K98" s="89"/>
      <x:c r="L98" s="24"/>
      <x:c r="M98" s="24"/>
    </x:row>
    <x:row r="99">
      <x:c r="A99" s="80"/>
      <x:c r="B99" s="80"/>
      <x:c r="C99" s="25"/>
      <x:c r="D99" s="88"/>
      <x:c r="E99" s="25"/>
      <x:c r="F99" s="80"/>
      <x:c r="G99" s="25"/>
      <x:c r="H99" s="27"/>
      <x:c r="I99" s="89"/>
      <x:c r="J99" s="89"/>
      <x:c r="K99" s="89"/>
      <x:c r="L99" s="24"/>
      <x:c r="M99" s="24"/>
    </x:row>
    <x:row r="100">
      <x:c r="A100" s="80"/>
      <x:c r="B100" s="80"/>
      <x:c r="C100" s="25"/>
      <x:c r="D100" s="88"/>
      <x:c r="E100" s="25"/>
      <x:c r="F100" s="80"/>
      <x:c r="G100" s="25"/>
      <x:c r="H100" s="27"/>
      <x:c r="I100" s="89"/>
      <x:c r="J100" s="89"/>
      <x:c r="K100" s="89"/>
      <x:c r="L100" s="24"/>
      <x:c r="M100" s="24"/>
    </x:row>
    <x:row r="101">
      <x:c r="A101" s="80"/>
      <x:c r="B101" s="80"/>
      <x:c r="C101" s="25"/>
      <x:c r="D101" s="88"/>
      <x:c r="E101" s="25"/>
      <x:c r="F101" s="80"/>
      <x:c r="G101" s="25"/>
      <x:c r="H101" s="27"/>
      <x:c r="I101" s="89"/>
      <x:c r="J101" s="89"/>
      <x:c r="K101" s="89"/>
      <x:c r="L101" s="24"/>
      <x:c r="M101" s="24"/>
    </x:row>
    <x:row r="102">
      <x:c r="A102" s="80"/>
      <x:c r="B102" s="80"/>
      <x:c r="C102" s="25"/>
      <x:c r="D102" s="88"/>
      <x:c r="E102" s="25"/>
      <x:c r="F102" s="80"/>
      <x:c r="G102" s="25"/>
      <x:c r="H102" s="27"/>
      <x:c r="I102" s="89"/>
      <x:c r="J102" s="89"/>
      <x:c r="K102" s="89"/>
      <x:c r="L102" s="24"/>
      <x:c r="M102" s="24"/>
    </x:row>
    <x:row r="103">
      <x:c r="A103" s="80"/>
      <x:c r="B103" s="80"/>
      <x:c r="C103" s="25"/>
      <x:c r="D103" s="88"/>
      <x:c r="E103" s="25"/>
      <x:c r="F103" s="80"/>
      <x:c r="G103" s="25"/>
      <x:c r="H103" s="27"/>
      <x:c r="I103" s="89"/>
      <x:c r="J103" s="89"/>
      <x:c r="K103" s="89"/>
      <x:c r="L103" s="24"/>
      <x:c r="M103" s="24"/>
    </x:row>
    <x:row r="104">
      <x:c r="A104" s="80"/>
      <x:c r="B104" s="80"/>
      <x:c r="C104" s="25"/>
      <x:c r="D104" s="88"/>
      <x:c r="E104" s="25"/>
      <x:c r="F104" s="80"/>
      <x:c r="G104" s="25"/>
      <x:c r="H104" s="27"/>
      <x:c r="I104" s="89"/>
      <x:c r="J104" s="89"/>
      <x:c r="K104" s="89"/>
      <x:c r="L104" s="24"/>
      <x:c r="M104" s="24"/>
    </x:row>
    <x:row r="105">
      <x:c r="A105" s="80"/>
      <x:c r="B105" s="80"/>
      <x:c r="C105" s="25"/>
      <x:c r="D105" s="88"/>
      <x:c r="E105" s="25"/>
      <x:c r="F105" s="80"/>
      <x:c r="G105" s="25"/>
      <x:c r="H105" s="27"/>
      <x:c r="I105" s="89"/>
      <x:c r="J105" s="89"/>
      <x:c r="K105" s="89"/>
      <x:c r="L105" s="24"/>
      <x:c r="M105" s="24"/>
    </x:row>
    <x:row r="106">
      <x:c r="A106" s="80"/>
      <x:c r="B106" s="80"/>
      <x:c r="C106" s="25"/>
      <x:c r="D106" s="88"/>
      <x:c r="E106" s="25"/>
      <x:c r="F106" s="80"/>
      <x:c r="G106" s="25"/>
      <x:c r="H106" s="27"/>
      <x:c r="I106" s="89"/>
      <x:c r="J106" s="89"/>
      <x:c r="K106" s="89"/>
      <x:c r="L106" s="24"/>
      <x:c r="M106" s="24"/>
    </x:row>
    <x:row r="107">
      <x:c r="A107" s="80"/>
      <x:c r="B107" s="80"/>
      <x:c r="C107" s="25"/>
      <x:c r="D107" s="88"/>
      <x:c r="E107" s="25"/>
      <x:c r="F107" s="80"/>
      <x:c r="G107" s="25"/>
      <x:c r="H107" s="27"/>
      <x:c r="I107" s="89"/>
      <x:c r="J107" s="89"/>
      <x:c r="K107" s="89"/>
      <x:c r="L107" s="24"/>
      <x:c r="M107" s="24"/>
    </x:row>
    <x:row r="108">
      <x:c r="A108" s="80"/>
      <x:c r="B108" s="80"/>
      <x:c r="C108" s="25"/>
      <x:c r="D108" s="88"/>
      <x:c r="E108" s="25"/>
      <x:c r="F108" s="80"/>
      <x:c r="G108" s="25"/>
      <x:c r="H108" s="27"/>
      <x:c r="I108" s="89"/>
      <x:c r="J108" s="89"/>
      <x:c r="K108" s="89"/>
      <x:c r="L108" s="24"/>
      <x:c r="M108" s="24"/>
    </x:row>
    <x:row r="109">
      <x:c r="A109" s="80"/>
      <x:c r="B109" s="80"/>
      <x:c r="C109" s="25"/>
      <x:c r="D109" s="88"/>
      <x:c r="E109" s="25"/>
      <x:c r="F109" s="80"/>
      <x:c r="G109" s="25"/>
      <x:c r="H109" s="27"/>
      <x:c r="I109" s="89"/>
      <x:c r="J109" s="89"/>
      <x:c r="K109" s="89"/>
      <x:c r="L109" s="24"/>
      <x:c r="M109" s="24"/>
    </x:row>
    <x:row r="110">
      <x:c r="A110" s="80"/>
      <x:c r="B110" s="80"/>
      <x:c r="C110" s="25"/>
      <x:c r="D110" s="88"/>
      <x:c r="E110" s="25"/>
      <x:c r="F110" s="80"/>
      <x:c r="G110" s="25"/>
      <x:c r="H110" s="27"/>
      <x:c r="I110" s="89"/>
      <x:c r="J110" s="89"/>
      <x:c r="K110" s="89"/>
      <x:c r="L110" s="24"/>
      <x:c r="M110" s="24"/>
    </x:row>
    <x:row r="111">
      <x:c r="A111" s="80"/>
      <x:c r="B111" s="80"/>
      <x:c r="C111" s="25"/>
      <x:c r="D111" s="88"/>
      <x:c r="E111" s="25"/>
      <x:c r="F111" s="80"/>
      <x:c r="G111" s="25"/>
      <x:c r="H111" s="27"/>
      <x:c r="I111" s="89"/>
      <x:c r="J111" s="89"/>
      <x:c r="K111" s="89"/>
      <x:c r="L111" s="24"/>
      <x:c r="M111" s="24"/>
    </x:row>
    <x:row r="112">
      <x:c r="A112" s="80"/>
      <x:c r="B112" s="80"/>
      <x:c r="C112" s="25"/>
      <x:c r="D112" s="88"/>
      <x:c r="E112" s="25"/>
      <x:c r="F112" s="80"/>
      <x:c r="G112" s="25"/>
      <x:c r="H112" s="27"/>
      <x:c r="I112" s="89"/>
      <x:c r="J112" s="89"/>
      <x:c r="K112" s="89"/>
      <x:c r="L112" s="24"/>
      <x:c r="M112" s="24"/>
    </x:row>
    <x:row r="113">
      <x:c r="A113" s="80"/>
      <x:c r="B113" s="80"/>
      <x:c r="C113" s="25"/>
      <x:c r="D113" s="88"/>
      <x:c r="E113" s="25"/>
      <x:c r="F113" s="80"/>
      <x:c r="G113" s="25"/>
      <x:c r="H113" s="27"/>
      <x:c r="I113" s="89"/>
      <x:c r="J113" s="89"/>
      <x:c r="K113" s="89"/>
      <x:c r="L113" s="24"/>
      <x:c r="M113" s="24"/>
    </x:row>
    <x:row r="114">
      <x:c r="A114" s="80"/>
      <x:c r="B114" s="80"/>
      <x:c r="C114" s="25"/>
      <x:c r="D114" s="88"/>
      <x:c r="E114" s="25"/>
      <x:c r="F114" s="80"/>
      <x:c r="G114" s="25"/>
      <x:c r="H114" s="27"/>
      <x:c r="I114" s="89"/>
      <x:c r="J114" s="89"/>
      <x:c r="K114" s="89"/>
      <x:c r="L114" s="24"/>
      <x:c r="M114" s="24"/>
    </x:row>
    <x:row r="115">
      <x:c r="A115" s="80"/>
      <x:c r="B115" s="80"/>
      <x:c r="C115" s="25"/>
      <x:c r="D115" s="88"/>
      <x:c r="E115" s="25"/>
      <x:c r="F115" s="80"/>
      <x:c r="G115" s="25"/>
      <x:c r="H115" s="27"/>
      <x:c r="I115" s="89"/>
      <x:c r="J115" s="89"/>
      <x:c r="K115" s="89"/>
      <x:c r="L115" s="24"/>
      <x:c r="M115" s="24"/>
    </x:row>
    <x:row r="116">
      <x:c r="A116" s="80"/>
      <x:c r="B116" s="80"/>
      <x:c r="C116" s="25"/>
      <x:c r="D116" s="88"/>
      <x:c r="E116" s="25"/>
      <x:c r="F116" s="80"/>
      <x:c r="G116" s="25"/>
      <x:c r="H116" s="27"/>
      <x:c r="I116" s="89"/>
      <x:c r="J116" s="89"/>
      <x:c r="K116" s="89"/>
      <x:c r="L116" s="24"/>
      <x:c r="M116" s="24"/>
    </x:row>
    <x:row r="117">
      <x:c r="A117" s="80"/>
      <x:c r="B117" s="80"/>
      <x:c r="C117" s="25"/>
      <x:c r="D117" s="88"/>
      <x:c r="E117" s="25"/>
      <x:c r="F117" s="80"/>
      <x:c r="G117" s="25"/>
      <x:c r="H117" s="27"/>
      <x:c r="I117" s="89"/>
      <x:c r="J117" s="89"/>
      <x:c r="K117" s="89"/>
      <x:c r="L117" s="24"/>
      <x:c r="M117" s="24"/>
    </x:row>
    <x:row r="118">
      <x:c r="A118" s="80"/>
      <x:c r="B118" s="80"/>
      <x:c r="C118" s="25"/>
      <x:c r="D118" s="88"/>
      <x:c r="E118" s="25"/>
      <x:c r="F118" s="80"/>
      <x:c r="G118" s="25"/>
      <x:c r="H118" s="27"/>
      <x:c r="I118" s="89"/>
      <x:c r="J118" s="89"/>
      <x:c r="K118" s="89"/>
      <x:c r="L118" s="24"/>
      <x:c r="M118" s="24"/>
    </x:row>
    <x:row r="119">
      <x:c r="A119" s="80"/>
      <x:c r="B119" s="80"/>
      <x:c r="C119" s="25"/>
      <x:c r="D119" s="88"/>
      <x:c r="E119" s="25"/>
      <x:c r="F119" s="80"/>
      <x:c r="G119" s="25"/>
      <x:c r="H119" s="27"/>
      <x:c r="I119" s="89"/>
      <x:c r="J119" s="89"/>
      <x:c r="K119" s="89"/>
      <x:c r="L119" s="24"/>
      <x:c r="M119" s="24"/>
    </x:row>
    <x:row r="120">
      <x:c r="A120" s="80"/>
      <x:c r="B120" s="80"/>
      <x:c r="C120" s="25"/>
      <x:c r="D120" s="88"/>
      <x:c r="E120" s="25"/>
      <x:c r="F120" s="80"/>
      <x:c r="G120" s="25"/>
      <x:c r="H120" s="27"/>
      <x:c r="I120" s="89"/>
      <x:c r="J120" s="89"/>
      <x:c r="K120" s="89"/>
      <x:c r="L120" s="24"/>
      <x:c r="M120" s="24"/>
    </x:row>
    <x:row r="121">
      <x:c r="A121" s="80"/>
      <x:c r="B121" s="80"/>
      <x:c r="C121" s="25"/>
      <x:c r="D121" s="88"/>
      <x:c r="E121" s="25"/>
      <x:c r="F121" s="80"/>
      <x:c r="G121" s="25"/>
      <x:c r="H121" s="27"/>
      <x:c r="I121" s="89"/>
      <x:c r="J121" s="89"/>
      <x:c r="K121" s="89"/>
      <x:c r="L121" s="24"/>
      <x:c r="M121" s="24"/>
    </x:row>
    <x:row r="122">
      <x:c r="A122" s="80"/>
      <x:c r="B122" s="80"/>
      <x:c r="C122" s="25"/>
      <x:c r="D122" s="88"/>
      <x:c r="E122" s="25"/>
      <x:c r="F122" s="80"/>
      <x:c r="G122" s="25"/>
      <x:c r="H122" s="27"/>
      <x:c r="I122" s="89"/>
      <x:c r="J122" s="89"/>
      <x:c r="K122" s="89"/>
      <x:c r="L122" s="24"/>
      <x:c r="M122" s="24"/>
    </x:row>
    <x:row r="123">
      <x:c r="A123" s="80"/>
      <x:c r="B123" s="80"/>
      <x:c r="C123" s="25"/>
      <x:c r="D123" s="88"/>
      <x:c r="E123" s="25"/>
      <x:c r="F123" s="80"/>
      <x:c r="G123" s="25"/>
      <x:c r="H123" s="27"/>
      <x:c r="I123" s="89"/>
      <x:c r="J123" s="89"/>
      <x:c r="K123" s="89"/>
      <x:c r="L123" s="24"/>
      <x:c r="M123" s="24"/>
    </x:row>
    <x:row r="124">
      <x:c r="A124" s="80"/>
      <x:c r="B124" s="80"/>
      <x:c r="C124" s="25"/>
      <x:c r="D124" s="88"/>
      <x:c r="E124" s="25"/>
      <x:c r="F124" s="80"/>
      <x:c r="G124" s="25"/>
      <x:c r="H124" s="27"/>
      <x:c r="I124" s="89"/>
      <x:c r="J124" s="89"/>
      <x:c r="K124" s="89"/>
      <x:c r="L124" s="24"/>
      <x:c r="M124" s="24"/>
    </x:row>
    <x:row r="125">
      <x:c r="A125" s="80"/>
      <x:c r="B125" s="80"/>
      <x:c r="C125" s="25"/>
      <x:c r="D125" s="88"/>
      <x:c r="E125" s="25"/>
      <x:c r="F125" s="80"/>
      <x:c r="G125" s="25"/>
      <x:c r="H125" s="27"/>
      <x:c r="I125" s="89"/>
      <x:c r="J125" s="89"/>
      <x:c r="K125" s="89"/>
      <x:c r="L125" s="24"/>
      <x:c r="M125" s="24"/>
    </x:row>
    <x:row r="126">
      <x:c r="A126" s="80"/>
      <x:c r="B126" s="80"/>
      <x:c r="C126" s="25"/>
      <x:c r="D126" s="88"/>
      <x:c r="E126" s="25"/>
      <x:c r="F126" s="80"/>
      <x:c r="G126" s="25"/>
      <x:c r="H126" s="27"/>
      <x:c r="I126" s="89"/>
      <x:c r="J126" s="89"/>
      <x:c r="K126" s="89"/>
      <x:c r="L126" s="24"/>
      <x:c r="M126" s="24"/>
    </x:row>
    <x:row r="127">
      <x:c r="A127" s="80"/>
      <x:c r="B127" s="80"/>
      <x:c r="C127" s="25"/>
      <x:c r="D127" s="88"/>
      <x:c r="E127" s="25"/>
      <x:c r="F127" s="80"/>
      <x:c r="G127" s="25"/>
      <x:c r="H127" s="27"/>
      <x:c r="I127" s="89"/>
      <x:c r="J127" s="89"/>
      <x:c r="K127" s="89"/>
      <x:c r="L127" s="24"/>
      <x:c r="M127" s="24"/>
    </x:row>
    <x:row r="128">
      <x:c r="A128" s="80"/>
      <x:c r="B128" s="80"/>
      <x:c r="C128" s="25"/>
      <x:c r="D128" s="88"/>
      <x:c r="E128" s="25"/>
      <x:c r="F128" s="80"/>
      <x:c r="G128" s="25"/>
      <x:c r="H128" s="27"/>
      <x:c r="I128" s="89"/>
      <x:c r="J128" s="89"/>
      <x:c r="K128" s="89"/>
      <x:c r="L128" s="24"/>
      <x:c r="M128" s="24"/>
    </x:row>
    <x:row r="129">
      <x:c r="A129" s="80"/>
      <x:c r="B129" s="80"/>
      <x:c r="C129" s="25"/>
      <x:c r="D129" s="88"/>
      <x:c r="E129" s="25"/>
      <x:c r="F129" s="80"/>
      <x:c r="G129" s="25"/>
      <x:c r="H129" s="27"/>
      <x:c r="I129" s="89"/>
      <x:c r="J129" s="89"/>
      <x:c r="K129" s="89"/>
      <x:c r="L129" s="24"/>
      <x:c r="M129" s="24"/>
    </x:row>
    <x:row r="130">
      <x:c r="A130" s="80"/>
      <x:c r="B130" s="80"/>
      <x:c r="C130" s="25"/>
      <x:c r="D130" s="88"/>
      <x:c r="E130" s="25"/>
      <x:c r="F130" s="80"/>
      <x:c r="G130" s="25"/>
      <x:c r="H130" s="27"/>
      <x:c r="I130" s="89"/>
      <x:c r="J130" s="89"/>
      <x:c r="K130" s="89"/>
      <x:c r="L130" s="24"/>
      <x:c r="M130" s="24"/>
    </x:row>
    <x:row r="131">
      <x:c r="A131" s="80"/>
      <x:c r="B131" s="80"/>
      <x:c r="C131" s="25"/>
      <x:c r="D131" s="88"/>
      <x:c r="E131" s="25"/>
      <x:c r="F131" s="80"/>
      <x:c r="G131" s="25"/>
      <x:c r="H131" s="27"/>
      <x:c r="I131" s="89"/>
      <x:c r="J131" s="89"/>
      <x:c r="K131" s="89"/>
      <x:c r="L131" s="24"/>
      <x:c r="M131" s="24"/>
    </x:row>
    <x:row r="132">
      <x:c r="A132" s="80"/>
      <x:c r="B132" s="80"/>
      <x:c r="C132" s="25"/>
      <x:c r="D132" s="88"/>
      <x:c r="E132" s="25"/>
      <x:c r="F132" s="80"/>
      <x:c r="G132" s="25"/>
      <x:c r="H132" s="27"/>
      <x:c r="I132" s="89"/>
      <x:c r="J132" s="89"/>
      <x:c r="K132" s="89"/>
      <x:c r="L132" s="24"/>
      <x:c r="M132" s="24"/>
    </x:row>
    <x:row r="133">
      <x:c r="A133" s="80"/>
      <x:c r="B133" s="80"/>
      <x:c r="C133" s="25"/>
      <x:c r="D133" s="88"/>
      <x:c r="E133" s="25"/>
      <x:c r="F133" s="80"/>
      <x:c r="G133" s="25"/>
      <x:c r="H133" s="27"/>
      <x:c r="I133" s="89"/>
      <x:c r="J133" s="89"/>
      <x:c r="K133" s="89"/>
      <x:c r="L133" s="24"/>
      <x:c r="M133" s="24"/>
    </x:row>
    <x:row r="134">
      <x:c r="A134" s="80"/>
      <x:c r="B134" s="80"/>
      <x:c r="C134" s="25"/>
      <x:c r="D134" s="88"/>
      <x:c r="E134" s="25"/>
      <x:c r="F134" s="80"/>
      <x:c r="G134" s="25"/>
      <x:c r="H134" s="27"/>
      <x:c r="I134" s="89"/>
      <x:c r="J134" s="89"/>
      <x:c r="K134" s="89"/>
      <x:c r="L134" s="24"/>
      <x:c r="M134" s="24"/>
    </x:row>
    <x:row r="135">
      <x:c r="A135" s="80"/>
      <x:c r="B135" s="80"/>
      <x:c r="C135" s="25"/>
      <x:c r="D135" s="88"/>
      <x:c r="E135" s="25"/>
      <x:c r="F135" s="80"/>
      <x:c r="G135" s="25"/>
      <x:c r="H135" s="27"/>
      <x:c r="I135" s="89"/>
      <x:c r="J135" s="89"/>
      <x:c r="K135" s="89"/>
      <x:c r="L135" s="24"/>
      <x:c r="M135" s="24"/>
    </x:row>
    <x:row r="136">
      <x:c r="A136" s="80"/>
      <x:c r="B136" s="80"/>
      <x:c r="C136" s="25"/>
      <x:c r="D136" s="88"/>
      <x:c r="E136" s="25"/>
      <x:c r="F136" s="80"/>
      <x:c r="G136" s="25"/>
      <x:c r="H136" s="27"/>
      <x:c r="I136" s="89"/>
      <x:c r="J136" s="89"/>
      <x:c r="K136" s="89"/>
      <x:c r="L136" s="24"/>
      <x:c r="M136" s="24"/>
    </x:row>
    <x:row r="137">
      <x:c r="A137" s="80"/>
      <x:c r="B137" s="80"/>
      <x:c r="C137" s="25"/>
      <x:c r="D137" s="88"/>
      <x:c r="E137" s="25"/>
      <x:c r="F137" s="80"/>
      <x:c r="G137" s="25"/>
      <x:c r="H137" s="27"/>
      <x:c r="I137" s="89"/>
      <x:c r="J137" s="89"/>
      <x:c r="K137" s="89"/>
      <x:c r="L137" s="24"/>
      <x:c r="M137" s="24"/>
    </x:row>
    <x:row r="138">
      <x:c r="A138" s="80"/>
      <x:c r="B138" s="80"/>
      <x:c r="C138" s="25"/>
      <x:c r="D138" s="88"/>
      <x:c r="E138" s="25"/>
      <x:c r="F138" s="80"/>
      <x:c r="G138" s="25"/>
      <x:c r="H138" s="27"/>
      <x:c r="I138" s="89"/>
      <x:c r="J138" s="89"/>
      <x:c r="K138" s="89"/>
      <x:c r="L138" s="24"/>
      <x:c r="M138" s="24"/>
    </x:row>
    <x:row r="139">
      <x:c r="A139" s="80"/>
      <x:c r="B139" s="80"/>
      <x:c r="C139" s="25"/>
      <x:c r="D139" s="88"/>
      <x:c r="E139" s="25"/>
      <x:c r="F139" s="80"/>
      <x:c r="G139" s="25"/>
      <x:c r="H139" s="27"/>
      <x:c r="I139" s="89"/>
      <x:c r="J139" s="89"/>
      <x:c r="K139" s="89"/>
      <x:c r="L139" s="24"/>
      <x:c r="M139" s="24"/>
    </x:row>
    <x:row r="140">
      <x:c r="A140" s="80"/>
      <x:c r="B140" s="80"/>
      <x:c r="C140" s="25"/>
      <x:c r="D140" s="88"/>
      <x:c r="E140" s="25"/>
      <x:c r="F140" s="80"/>
      <x:c r="G140" s="25"/>
      <x:c r="H140" s="27"/>
      <x:c r="I140" s="89"/>
      <x:c r="J140" s="89"/>
      <x:c r="K140" s="89"/>
      <x:c r="L140" s="24"/>
      <x:c r="M140" s="24"/>
    </x:row>
    <x:row r="141">
      <x:c r="A141" s="80"/>
      <x:c r="B141" s="80"/>
      <x:c r="C141" s="25"/>
      <x:c r="D141" s="88"/>
      <x:c r="E141" s="25"/>
      <x:c r="F141" s="80"/>
      <x:c r="G141" s="25"/>
      <x:c r="H141" s="27"/>
      <x:c r="I141" s="89"/>
      <x:c r="J141" s="89"/>
      <x:c r="K141" s="89"/>
      <x:c r="L141" s="24"/>
      <x:c r="M141" s="24"/>
    </x:row>
    <x:row r="142">
      <x:c r="A142" s="80"/>
      <x:c r="B142" s="80"/>
      <x:c r="C142" s="25"/>
      <x:c r="D142" s="88"/>
      <x:c r="E142" s="25"/>
      <x:c r="F142" s="80"/>
      <x:c r="G142" s="25"/>
      <x:c r="H142" s="27"/>
      <x:c r="I142" s="89"/>
      <x:c r="J142" s="89"/>
      <x:c r="K142" s="89"/>
      <x:c r="L142" s="24"/>
      <x:c r="M142" s="24"/>
    </x:row>
    <x:row r="143">
      <x:c r="A143" s="80"/>
      <x:c r="B143" s="80"/>
      <x:c r="C143" s="25"/>
      <x:c r="D143" s="88"/>
      <x:c r="E143" s="25"/>
      <x:c r="F143" s="80"/>
      <x:c r="G143" s="25"/>
      <x:c r="H143" s="27"/>
      <x:c r="I143" s="89"/>
      <x:c r="J143" s="89"/>
      <x:c r="K143" s="89"/>
      <x:c r="L143" s="24"/>
      <x:c r="M143" s="24"/>
    </x:row>
    <x:row r="144">
      <x:c r="A144" s="80"/>
      <x:c r="B144" s="80"/>
      <x:c r="C144" s="25"/>
      <x:c r="D144" s="88"/>
      <x:c r="E144" s="25"/>
      <x:c r="F144" s="80"/>
      <x:c r="G144" s="25"/>
      <x:c r="H144" s="27"/>
      <x:c r="I144" s="89"/>
      <x:c r="J144" s="89"/>
      <x:c r="K144" s="89"/>
      <x:c r="L144" s="24"/>
      <x:c r="M144" s="24"/>
    </x:row>
    <x:row r="145">
      <x:c r="A145" s="80"/>
      <x:c r="B145" s="80"/>
      <x:c r="C145" s="25"/>
      <x:c r="D145" s="88"/>
      <x:c r="E145" s="25"/>
      <x:c r="F145" s="80"/>
      <x:c r="G145" s="25"/>
      <x:c r="H145" s="27"/>
      <x:c r="I145" s="89"/>
      <x:c r="J145" s="89"/>
      <x:c r="K145" s="89"/>
      <x:c r="L145" s="24"/>
      <x:c r="M145" s="24"/>
    </x:row>
    <x:row r="146">
      <x:c r="A146" s="80"/>
      <x:c r="B146" s="80"/>
      <x:c r="C146" s="25"/>
      <x:c r="D146" s="88"/>
      <x:c r="E146" s="25"/>
      <x:c r="F146" s="80"/>
      <x:c r="G146" s="25"/>
      <x:c r="H146" s="27"/>
      <x:c r="I146" s="89"/>
      <x:c r="J146" s="89"/>
      <x:c r="K146" s="89"/>
      <x:c r="L146" s="24"/>
      <x:c r="M146" s="24"/>
    </x:row>
    <x:row r="147">
      <x:c r="A147" s="80"/>
      <x:c r="B147" s="80"/>
      <x:c r="C147" s="25"/>
      <x:c r="D147" s="88"/>
      <x:c r="E147" s="25"/>
      <x:c r="F147" s="80"/>
      <x:c r="G147" s="25"/>
      <x:c r="H147" s="27"/>
      <x:c r="I147" s="89"/>
      <x:c r="J147" s="89"/>
      <x:c r="K147" s="89"/>
      <x:c r="L147" s="24"/>
      <x:c r="M147" s="24"/>
    </x:row>
    <x:row r="148">
      <x:c r="A148" s="80"/>
      <x:c r="B148" s="80"/>
      <x:c r="C148" s="25"/>
      <x:c r="D148" s="88"/>
      <x:c r="E148" s="25"/>
      <x:c r="F148" s="80"/>
      <x:c r="G148" s="25"/>
      <x:c r="H148" s="27"/>
      <x:c r="I148" s="89"/>
      <x:c r="J148" s="89"/>
      <x:c r="K148" s="89"/>
      <x:c r="L148" s="24"/>
      <x:c r="M148" s="24"/>
    </x:row>
    <x:row r="149">
      <x:c r="A149" s="80"/>
      <x:c r="B149" s="80"/>
      <x:c r="C149" s="25"/>
      <x:c r="D149" s="88"/>
      <x:c r="E149" s="25"/>
      <x:c r="F149" s="80"/>
      <x:c r="G149" s="25"/>
      <x:c r="H149" s="27"/>
      <x:c r="I149" s="89"/>
      <x:c r="J149" s="89"/>
      <x:c r="K149" s="89"/>
      <x:c r="L149" s="24"/>
      <x:c r="M149" s="24"/>
    </x:row>
    <x:row r="150">
      <x:c r="A150" s="80"/>
      <x:c r="B150" s="80"/>
      <x:c r="C150" s="25"/>
      <x:c r="D150" s="88"/>
      <x:c r="E150" s="25"/>
      <x:c r="F150" s="80"/>
      <x:c r="G150" s="25"/>
      <x:c r="H150" s="27"/>
      <x:c r="I150" s="89"/>
      <x:c r="J150" s="89"/>
      <x:c r="K150" s="89"/>
      <x:c r="L150" s="24"/>
      <x:c r="M150" s="24"/>
    </x:row>
    <x:row r="151">
      <x:c r="A151" s="80"/>
      <x:c r="B151" s="80"/>
      <x:c r="C151" s="25"/>
      <x:c r="D151" s="88"/>
      <x:c r="E151" s="25"/>
      <x:c r="F151" s="80"/>
      <x:c r="G151" s="25"/>
      <x:c r="H151" s="27"/>
      <x:c r="I151" s="89"/>
      <x:c r="J151" s="89"/>
      <x:c r="K151" s="89"/>
      <x:c r="L151" s="24"/>
      <x:c r="M151" s="24"/>
    </x:row>
    <x:row r="152">
      <x:c r="A152" s="80"/>
      <x:c r="B152" s="80"/>
      <x:c r="C152" s="25"/>
      <x:c r="D152" s="88"/>
      <x:c r="E152" s="25"/>
      <x:c r="F152" s="80"/>
      <x:c r="G152" s="25"/>
      <x:c r="H152" s="27"/>
      <x:c r="I152" s="89"/>
      <x:c r="J152" s="89"/>
      <x:c r="K152" s="89"/>
      <x:c r="L152" s="24"/>
      <x:c r="M152" s="24"/>
    </x:row>
    <x:row r="153">
      <x:c r="A153" s="80"/>
      <x:c r="B153" s="80"/>
      <x:c r="C153" s="25"/>
      <x:c r="D153" s="88"/>
      <x:c r="E153" s="25"/>
      <x:c r="F153" s="80"/>
      <x:c r="G153" s="25"/>
      <x:c r="H153" s="27"/>
      <x:c r="I153" s="89"/>
      <x:c r="J153" s="89"/>
      <x:c r="K153" s="89"/>
      <x:c r="L153" s="24"/>
      <x:c r="M153" s="24"/>
    </x:row>
    <x:row r="154">
      <x:c r="A154" s="80"/>
      <x:c r="B154" s="80"/>
      <x:c r="C154" s="25"/>
      <x:c r="D154" s="88"/>
      <x:c r="E154" s="25"/>
      <x:c r="F154" s="80"/>
      <x:c r="G154" s="25"/>
      <x:c r="H154" s="27"/>
      <x:c r="I154" s="89"/>
      <x:c r="J154" s="89"/>
      <x:c r="K154" s="89"/>
      <x:c r="L154" s="24"/>
      <x:c r="M154" s="24"/>
    </x:row>
    <x:row r="155">
      <x:c r="A155" s="80"/>
      <x:c r="B155" s="80"/>
      <x:c r="C155" s="25"/>
      <x:c r="D155" s="88"/>
      <x:c r="E155" s="25"/>
      <x:c r="F155" s="80"/>
      <x:c r="G155" s="25"/>
      <x:c r="H155" s="27"/>
      <x:c r="I155" s="89"/>
      <x:c r="J155" s="89"/>
      <x:c r="K155" s="89"/>
      <x:c r="L155" s="24"/>
      <x:c r="M155" s="24"/>
    </x:row>
    <x:row r="156">
      <x:c r="A156" s="80"/>
      <x:c r="B156" s="80"/>
      <x:c r="C156" s="25"/>
      <x:c r="D156" s="88"/>
      <x:c r="E156" s="25"/>
      <x:c r="F156" s="80"/>
      <x:c r="G156" s="25"/>
      <x:c r="H156" s="27"/>
      <x:c r="I156" s="89"/>
      <x:c r="J156" s="89"/>
      <x:c r="K156" s="89"/>
      <x:c r="L156" s="24"/>
      <x:c r="M156" s="24"/>
    </x:row>
    <x:row r="157">
      <x:c r="A157" s="80"/>
      <x:c r="B157" s="80"/>
      <x:c r="C157" s="25"/>
      <x:c r="D157" s="88"/>
      <x:c r="E157" s="25"/>
      <x:c r="F157" s="80"/>
      <x:c r="G157" s="25"/>
      <x:c r="H157" s="27"/>
      <x:c r="I157" s="89"/>
      <x:c r="J157" s="89"/>
      <x:c r="K157" s="89"/>
      <x:c r="L157" s="24"/>
      <x:c r="M157" s="24"/>
    </x:row>
    <x:row r="158">
      <x:c r="A158" s="80"/>
      <x:c r="B158" s="80"/>
      <x:c r="C158" s="25"/>
      <x:c r="D158" s="88"/>
      <x:c r="E158" s="25"/>
      <x:c r="F158" s="80"/>
      <x:c r="G158" s="25"/>
      <x:c r="H158" s="27"/>
      <x:c r="I158" s="89"/>
      <x:c r="J158" s="89"/>
      <x:c r="K158" s="89"/>
      <x:c r="L158" s="24"/>
      <x:c r="M158" s="24"/>
    </x:row>
    <x:row r="159">
      <x:c r="A159" s="80"/>
      <x:c r="B159" s="80"/>
      <x:c r="C159" s="25"/>
      <x:c r="D159" s="88"/>
      <x:c r="E159" s="25"/>
      <x:c r="F159" s="80"/>
      <x:c r="G159" s="25"/>
      <x:c r="H159" s="27"/>
      <x:c r="I159" s="89"/>
      <x:c r="J159" s="89"/>
      <x:c r="K159" s="89"/>
      <x:c r="L159" s="24"/>
      <x:c r="M159" s="24"/>
    </x:row>
    <x:row r="160">
      <x:c r="A160" s="80"/>
      <x:c r="B160" s="80"/>
      <x:c r="C160" s="25"/>
      <x:c r="D160" s="88"/>
      <x:c r="E160" s="25"/>
      <x:c r="F160" s="80"/>
      <x:c r="G160" s="25"/>
      <x:c r="H160" s="27"/>
      <x:c r="I160" s="89"/>
      <x:c r="J160" s="89"/>
      <x:c r="K160" s="89"/>
      <x:c r="L160" s="24"/>
      <x:c r="M160" s="24"/>
    </x:row>
    <x:row r="161">
      <x:c r="A161" s="80"/>
      <x:c r="B161" s="80"/>
      <x:c r="C161" s="25"/>
      <x:c r="D161" s="88"/>
      <x:c r="E161" s="25"/>
      <x:c r="F161" s="80"/>
      <x:c r="G161" s="25"/>
      <x:c r="H161" s="27"/>
      <x:c r="I161" s="89"/>
      <x:c r="J161" s="89"/>
      <x:c r="K161" s="89"/>
      <x:c r="L161" s="24"/>
      <x:c r="M161" s="24"/>
    </x:row>
    <x:row r="162">
      <x:c r="A162" s="80"/>
      <x:c r="B162" s="80"/>
      <x:c r="C162" s="25"/>
      <x:c r="D162" s="88"/>
      <x:c r="E162" s="25"/>
      <x:c r="F162" s="80"/>
      <x:c r="G162" s="25"/>
      <x:c r="H162" s="27"/>
      <x:c r="I162" s="89"/>
      <x:c r="J162" s="89"/>
      <x:c r="K162" s="89"/>
      <x:c r="L162" s="24"/>
      <x:c r="M162" s="24"/>
    </x:row>
    <x:row r="163">
      <x:c r="A163" s="80"/>
      <x:c r="B163" s="80"/>
      <x:c r="C163" s="25"/>
      <x:c r="D163" s="88"/>
      <x:c r="E163" s="25"/>
      <x:c r="F163" s="80"/>
      <x:c r="G163" s="25"/>
      <x:c r="H163" s="27"/>
      <x:c r="I163" s="89"/>
      <x:c r="J163" s="89"/>
      <x:c r="K163" s="89"/>
      <x:c r="L163" s="24"/>
      <x:c r="M163" s="24"/>
    </x:row>
    <x:row r="164">
      <x:c r="A164" s="80"/>
      <x:c r="B164" s="80"/>
      <x:c r="C164" s="25"/>
      <x:c r="D164" s="88"/>
      <x:c r="E164" s="25"/>
      <x:c r="F164" s="80"/>
      <x:c r="G164" s="25"/>
      <x:c r="H164" s="27"/>
      <x:c r="I164" s="89"/>
      <x:c r="J164" s="89"/>
      <x:c r="K164" s="89"/>
      <x:c r="L164" s="24"/>
      <x:c r="M164" s="24"/>
    </x:row>
    <x:row r="165">
      <x:c r="A165" s="80"/>
      <x:c r="B165" s="80"/>
      <x:c r="C165" s="25"/>
      <x:c r="D165" s="88"/>
      <x:c r="E165" s="25"/>
      <x:c r="F165" s="80"/>
      <x:c r="G165" s="25"/>
      <x:c r="H165" s="27"/>
      <x:c r="I165" s="89"/>
      <x:c r="J165" s="89"/>
      <x:c r="K165" s="89"/>
      <x:c r="L165" s="24"/>
      <x:c r="M165" s="24"/>
    </x:row>
    <x:row r="166">
      <x:c r="A166" s="80"/>
      <x:c r="B166" s="80"/>
      <x:c r="C166" s="25"/>
      <x:c r="D166" s="88"/>
      <x:c r="E166" s="25"/>
      <x:c r="F166" s="80"/>
      <x:c r="G166" s="25"/>
      <x:c r="H166" s="27"/>
      <x:c r="I166" s="89"/>
      <x:c r="J166" s="89"/>
      <x:c r="K166" s="89"/>
      <x:c r="L166" s="24"/>
      <x:c r="M166" s="24"/>
    </x:row>
    <x:row r="167">
      <x:c r="A167" s="80"/>
      <x:c r="B167" s="80"/>
      <x:c r="C167" s="25"/>
      <x:c r="D167" s="88"/>
      <x:c r="E167" s="25"/>
      <x:c r="F167" s="80"/>
      <x:c r="G167" s="25"/>
      <x:c r="H167" s="27"/>
      <x:c r="I167" s="89"/>
      <x:c r="J167" s="89"/>
      <x:c r="K167" s="89"/>
      <x:c r="L167" s="24"/>
      <x:c r="M167" s="24"/>
    </x:row>
    <x:row r="168">
      <x:c r="A168" s="80"/>
      <x:c r="B168" s="80"/>
      <x:c r="C168" s="25"/>
      <x:c r="D168" s="88"/>
      <x:c r="E168" s="25"/>
      <x:c r="F168" s="80"/>
      <x:c r="G168" s="25"/>
      <x:c r="H168" s="27"/>
      <x:c r="I168" s="89"/>
      <x:c r="J168" s="89"/>
      <x:c r="K168" s="89"/>
      <x:c r="L168" s="24"/>
      <x:c r="M168" s="24"/>
    </x:row>
    <x:row r="169">
      <x:c r="A169" s="80"/>
      <x:c r="B169" s="80"/>
      <x:c r="C169" s="25"/>
      <x:c r="D169" s="88"/>
      <x:c r="E169" s="25"/>
      <x:c r="F169" s="80"/>
      <x:c r="G169" s="25"/>
      <x:c r="H169" s="27"/>
      <x:c r="I169" s="89"/>
      <x:c r="J169" s="89"/>
      <x:c r="K169" s="89"/>
      <x:c r="L169" s="24"/>
      <x:c r="M169" s="24"/>
    </x:row>
    <x:row r="170">
      <x:c r="A170" s="80"/>
      <x:c r="B170" s="80"/>
      <x:c r="C170" s="25"/>
      <x:c r="D170" s="88"/>
      <x:c r="E170" s="25"/>
      <x:c r="F170" s="80"/>
      <x:c r="G170" s="25"/>
      <x:c r="H170" s="27"/>
      <x:c r="I170" s="89"/>
      <x:c r="J170" s="89"/>
      <x:c r="K170" s="89"/>
      <x:c r="L170" s="24"/>
      <x:c r="M170" s="24"/>
    </x:row>
    <x:row r="171">
      <x:c r="A171" s="80"/>
      <x:c r="B171" s="80"/>
      <x:c r="C171" s="25"/>
      <x:c r="D171" s="88"/>
      <x:c r="E171" s="25"/>
      <x:c r="F171" s="80"/>
      <x:c r="G171" s="25"/>
      <x:c r="H171" s="27"/>
      <x:c r="I171" s="89"/>
      <x:c r="J171" s="89"/>
      <x:c r="K171" s="89"/>
      <x:c r="L171" s="24"/>
      <x:c r="M171" s="24"/>
    </x:row>
    <x:row r="172">
      <x:c r="A172" s="80"/>
      <x:c r="B172" s="80"/>
      <x:c r="C172" s="25"/>
      <x:c r="D172" s="88"/>
      <x:c r="E172" s="25"/>
      <x:c r="F172" s="80"/>
      <x:c r="G172" s="25"/>
      <x:c r="H172" s="27"/>
      <x:c r="I172" s="89"/>
      <x:c r="J172" s="89"/>
      <x:c r="K172" s="89"/>
      <x:c r="L172" s="24"/>
      <x:c r="M172" s="24"/>
    </x:row>
    <x:row r="173">
      <x:c r="A173" s="80"/>
      <x:c r="B173" s="80"/>
      <x:c r="C173" s="25"/>
      <x:c r="D173" s="88"/>
      <x:c r="E173" s="25"/>
      <x:c r="F173" s="80"/>
      <x:c r="G173" s="25"/>
      <x:c r="H173" s="27"/>
      <x:c r="I173" s="89"/>
      <x:c r="J173" s="89"/>
      <x:c r="K173" s="89"/>
      <x:c r="L173" s="24"/>
      <x:c r="M173" s="24"/>
    </x:row>
    <x:row r="174">
      <x:c r="A174" s="80"/>
      <x:c r="B174" s="80"/>
      <x:c r="C174" s="25"/>
      <x:c r="D174" s="88"/>
      <x:c r="E174" s="25"/>
      <x:c r="F174" s="80"/>
      <x:c r="G174" s="25"/>
      <x:c r="H174" s="27"/>
      <x:c r="I174" s="89"/>
      <x:c r="J174" s="89"/>
      <x:c r="K174" s="89"/>
      <x:c r="L174" s="24"/>
      <x:c r="M174" s="24"/>
    </x:row>
    <x:row r="175">
      <x:c r="A175" s="80"/>
      <x:c r="B175" s="80"/>
      <x:c r="C175" s="25"/>
      <x:c r="D175" s="88"/>
      <x:c r="E175" s="25"/>
      <x:c r="F175" s="80"/>
      <x:c r="G175" s="25"/>
      <x:c r="H175" s="27"/>
      <x:c r="I175" s="89"/>
      <x:c r="J175" s="89"/>
      <x:c r="K175" s="89"/>
      <x:c r="L175" s="24"/>
      <x:c r="M175" s="24"/>
    </x:row>
    <x:row r="176">
      <x:c r="A176" s="80"/>
      <x:c r="B176" s="80"/>
      <x:c r="C176" s="25"/>
      <x:c r="D176" s="88"/>
      <x:c r="E176" s="25"/>
      <x:c r="F176" s="80"/>
      <x:c r="G176" s="25"/>
      <x:c r="H176" s="27"/>
      <x:c r="I176" s="89"/>
      <x:c r="J176" s="89"/>
      <x:c r="K176" s="89"/>
      <x:c r="L176" s="24"/>
      <x:c r="M176" s="24"/>
    </x:row>
    <x:row r="177">
      <x:c r="A177" s="80"/>
      <x:c r="B177" s="80"/>
      <x:c r="C177" s="25"/>
      <x:c r="D177" s="88"/>
      <x:c r="E177" s="25"/>
      <x:c r="F177" s="80"/>
      <x:c r="G177" s="25"/>
      <x:c r="H177" s="27"/>
      <x:c r="I177" s="89"/>
      <x:c r="J177" s="89"/>
      <x:c r="K177" s="89"/>
      <x:c r="L177" s="24"/>
      <x:c r="M177" s="24"/>
    </x:row>
    <x:row r="178">
      <x:c r="A178" s="80"/>
      <x:c r="B178" s="80"/>
      <x:c r="C178" s="25"/>
      <x:c r="D178" s="88"/>
      <x:c r="E178" s="25"/>
      <x:c r="F178" s="80"/>
      <x:c r="G178" s="25"/>
      <x:c r="H178" s="27"/>
      <x:c r="I178" s="89"/>
      <x:c r="J178" s="89"/>
      <x:c r="K178" s="89"/>
      <x:c r="L178" s="24"/>
      <x:c r="M178" s="24"/>
    </x:row>
    <x:row r="179">
      <x:c r="A179" s="80"/>
      <x:c r="B179" s="80"/>
      <x:c r="C179" s="25"/>
      <x:c r="D179" s="88"/>
      <x:c r="E179" s="25"/>
      <x:c r="F179" s="80"/>
      <x:c r="G179" s="25"/>
      <x:c r="H179" s="27"/>
      <x:c r="I179" s="89"/>
      <x:c r="J179" s="89"/>
      <x:c r="K179" s="89"/>
      <x:c r="L179" s="24"/>
      <x:c r="M179" s="24"/>
    </x:row>
    <x:row r="180">
      <x:c r="A180" s="80"/>
      <x:c r="B180" s="80"/>
      <x:c r="C180" s="25"/>
      <x:c r="D180" s="88"/>
      <x:c r="E180" s="25"/>
      <x:c r="F180" s="80"/>
      <x:c r="G180" s="25"/>
      <x:c r="H180" s="27"/>
      <x:c r="I180" s="89"/>
      <x:c r="J180" s="89"/>
      <x:c r="K180" s="89"/>
      <x:c r="L180" s="24"/>
      <x:c r="M180" s="24"/>
    </x:row>
    <x:row r="181">
      <x:c r="A181" s="80"/>
      <x:c r="B181" s="80"/>
      <x:c r="C181" s="25"/>
      <x:c r="D181" s="88"/>
      <x:c r="E181" s="25"/>
      <x:c r="F181" s="80"/>
      <x:c r="G181" s="25"/>
      <x:c r="H181" s="27"/>
      <x:c r="I181" s="89"/>
      <x:c r="J181" s="89"/>
      <x:c r="K181" s="89"/>
      <x:c r="L181" s="24"/>
      <x:c r="M181" s="24"/>
    </x:row>
    <x:row r="182">
      <x:c r="A182" s="80"/>
      <x:c r="B182" s="80"/>
      <x:c r="C182" s="25"/>
      <x:c r="D182" s="88"/>
      <x:c r="E182" s="25"/>
      <x:c r="F182" s="80"/>
      <x:c r="G182" s="25"/>
      <x:c r="H182" s="27"/>
      <x:c r="I182" s="89"/>
      <x:c r="J182" s="89"/>
      <x:c r="K182" s="89"/>
      <x:c r="L182" s="24"/>
      <x:c r="M182" s="24"/>
    </x:row>
    <x:row r="183">
      <x:c r="A183" s="80"/>
      <x:c r="B183" s="80"/>
      <x:c r="C183" s="25"/>
      <x:c r="D183" s="88"/>
      <x:c r="E183" s="25"/>
      <x:c r="F183" s="80"/>
      <x:c r="G183" s="25"/>
      <x:c r="H183" s="27"/>
      <x:c r="I183" s="89"/>
      <x:c r="J183" s="89"/>
      <x:c r="K183" s="89"/>
      <x:c r="L183" s="24"/>
      <x:c r="M183" s="24"/>
    </x:row>
    <x:row r="184">
      <x:c r="A184" s="80"/>
      <x:c r="B184" s="80"/>
      <x:c r="C184" s="25"/>
      <x:c r="D184" s="88"/>
      <x:c r="E184" s="25"/>
      <x:c r="F184" s="80"/>
      <x:c r="G184" s="25"/>
      <x:c r="H184" s="27"/>
      <x:c r="I184" s="89"/>
      <x:c r="J184" s="89"/>
      <x:c r="K184" s="89"/>
      <x:c r="L184" s="24"/>
      <x:c r="M184" s="24"/>
    </x:row>
    <x:row r="185">
      <x:c r="A185" s="80"/>
      <x:c r="B185" s="80"/>
      <x:c r="C185" s="25"/>
      <x:c r="D185" s="88"/>
      <x:c r="E185" s="25"/>
      <x:c r="F185" s="80"/>
      <x:c r="G185" s="25"/>
      <x:c r="H185" s="27"/>
      <x:c r="I185" s="89"/>
      <x:c r="J185" s="89"/>
      <x:c r="K185" s="89"/>
      <x:c r="L185" s="24"/>
      <x:c r="M185" s="24"/>
    </x:row>
    <x:row r="186">
      <x:c r="A186" s="80"/>
      <x:c r="B186" s="80"/>
      <x:c r="C186" s="25"/>
      <x:c r="D186" s="88"/>
      <x:c r="E186" s="25"/>
      <x:c r="F186" s="80"/>
      <x:c r="G186" s="25"/>
      <x:c r="H186" s="27"/>
      <x:c r="I186" s="89"/>
      <x:c r="J186" s="89"/>
      <x:c r="K186" s="89"/>
      <x:c r="L186" s="24"/>
      <x:c r="M186" s="24"/>
    </x:row>
    <x:row r="187">
      <x:c r="A187" s="80"/>
      <x:c r="B187" s="80"/>
      <x:c r="C187" s="25"/>
      <x:c r="D187" s="88"/>
      <x:c r="E187" s="25"/>
      <x:c r="F187" s="80"/>
      <x:c r="G187" s="25"/>
      <x:c r="H187" s="27"/>
      <x:c r="I187" s="89"/>
      <x:c r="J187" s="89"/>
      <x:c r="K187" s="89"/>
      <x:c r="L187" s="24"/>
      <x:c r="M187" s="24"/>
    </x:row>
    <x:row r="188">
      <x:c r="A188" s="80"/>
      <x:c r="B188" s="80"/>
      <x:c r="C188" s="25"/>
      <x:c r="D188" s="88"/>
      <x:c r="E188" s="25"/>
      <x:c r="F188" s="80"/>
      <x:c r="G188" s="25"/>
      <x:c r="H188" s="27"/>
      <x:c r="I188" s="89"/>
      <x:c r="J188" s="89"/>
      <x:c r="K188" s="89"/>
      <x:c r="L188" s="24"/>
      <x:c r="M188" s="24"/>
    </x:row>
    <x:row r="189">
      <x:c r="A189" s="80"/>
      <x:c r="B189" s="80"/>
      <x:c r="C189" s="25"/>
      <x:c r="D189" s="88"/>
      <x:c r="E189" s="25"/>
      <x:c r="F189" s="80"/>
      <x:c r="G189" s="25"/>
      <x:c r="H189" s="27"/>
      <x:c r="I189" s="89"/>
      <x:c r="J189" s="89"/>
      <x:c r="K189" s="89"/>
      <x:c r="L189" s="24"/>
      <x:c r="M189" s="24"/>
    </x:row>
    <x:row r="190">
      <x:c r="A190" s="80"/>
      <x:c r="B190" s="80"/>
      <x:c r="C190" s="25"/>
      <x:c r="D190" s="88"/>
      <x:c r="E190" s="25"/>
      <x:c r="F190" s="80"/>
      <x:c r="G190" s="25"/>
      <x:c r="H190" s="27"/>
      <x:c r="I190" s="89"/>
      <x:c r="J190" s="89"/>
      <x:c r="K190" s="89"/>
      <x:c r="L190" s="24"/>
      <x:c r="M190" s="24"/>
    </x:row>
    <x:row r="191">
      <x:c r="A191" s="80"/>
      <x:c r="B191" s="80"/>
      <x:c r="C191" s="25"/>
      <x:c r="D191" s="88"/>
      <x:c r="E191" s="25"/>
      <x:c r="F191" s="80"/>
      <x:c r="G191" s="25"/>
      <x:c r="H191" s="27"/>
      <x:c r="I191" s="89"/>
      <x:c r="J191" s="89"/>
      <x:c r="K191" s="89"/>
      <x:c r="L191" s="24"/>
      <x:c r="M191" s="24"/>
    </x:row>
    <x:row r="192">
      <x:c r="A192" s="80"/>
      <x:c r="B192" s="80"/>
      <x:c r="C192" s="25"/>
      <x:c r="D192" s="88"/>
      <x:c r="E192" s="25"/>
      <x:c r="F192" s="80"/>
      <x:c r="G192" s="25"/>
      <x:c r="H192" s="27"/>
      <x:c r="I192" s="89"/>
      <x:c r="J192" s="89"/>
      <x:c r="K192" s="89"/>
      <x:c r="L192" s="24"/>
      <x:c r="M192" s="24"/>
    </x:row>
    <x:row r="193">
      <x:c r="A193" s="80"/>
      <x:c r="B193" s="80"/>
      <x:c r="C193" s="25"/>
      <x:c r="D193" s="88"/>
      <x:c r="E193" s="25"/>
      <x:c r="F193" s="80"/>
      <x:c r="G193" s="25"/>
      <x:c r="H193" s="27"/>
      <x:c r="I193" s="89"/>
      <x:c r="J193" s="89"/>
      <x:c r="K193" s="89"/>
      <x:c r="L193" s="24"/>
      <x:c r="M193" s="24"/>
    </x:row>
    <x:row r="194">
      <x:c r="A194" s="80"/>
      <x:c r="B194" s="80"/>
      <x:c r="C194" s="25"/>
      <x:c r="D194" s="88"/>
      <x:c r="E194" s="25"/>
      <x:c r="F194" s="80"/>
      <x:c r="G194" s="25"/>
      <x:c r="H194" s="27"/>
      <x:c r="I194" s="89"/>
      <x:c r="J194" s="89"/>
      <x:c r="K194" s="89"/>
      <x:c r="L194" s="24"/>
      <x:c r="M194" s="24"/>
    </x:row>
    <x:row r="195">
      <x:c r="A195" s="80"/>
      <x:c r="B195" s="80"/>
      <x:c r="C195" s="25"/>
      <x:c r="D195" s="88"/>
      <x:c r="E195" s="25"/>
      <x:c r="F195" s="80"/>
      <x:c r="G195" s="25"/>
      <x:c r="H195" s="27"/>
      <x:c r="I195" s="89"/>
      <x:c r="J195" s="89"/>
      <x:c r="K195" s="89"/>
      <x:c r="L195" s="24"/>
      <x:c r="M195" s="24"/>
    </x:row>
    <x:row r="196">
      <x:c r="A196" s="80"/>
      <x:c r="B196" s="80"/>
      <x:c r="C196" s="25"/>
      <x:c r="D196" s="88"/>
      <x:c r="E196" s="25"/>
      <x:c r="F196" s="80"/>
      <x:c r="G196" s="25"/>
      <x:c r="H196" s="27"/>
      <x:c r="I196" s="89"/>
      <x:c r="J196" s="89"/>
      <x:c r="K196" s="89"/>
      <x:c r="L196" s="24"/>
      <x:c r="M196" s="24"/>
    </x:row>
    <x:row r="197">
      <x:c r="A197" s="80"/>
      <x:c r="B197" s="80"/>
      <x:c r="C197" s="25"/>
      <x:c r="D197" s="88"/>
      <x:c r="E197" s="25"/>
      <x:c r="F197" s="80"/>
      <x:c r="G197" s="25"/>
      <x:c r="H197" s="27"/>
      <x:c r="I197" s="89"/>
      <x:c r="J197" s="89"/>
      <x:c r="K197" s="89"/>
      <x:c r="L197" s="24"/>
      <x:c r="M197" s="24"/>
    </x:row>
    <x:row r="198">
      <x:c r="A198" s="80"/>
      <x:c r="B198" s="80"/>
      <x:c r="C198" s="25"/>
      <x:c r="D198" s="88"/>
      <x:c r="E198" s="25"/>
      <x:c r="F198" s="80"/>
      <x:c r="G198" s="25"/>
      <x:c r="H198" s="27"/>
      <x:c r="I198" s="89"/>
      <x:c r="J198" s="89"/>
      <x:c r="K198" s="89"/>
      <x:c r="L198" s="24"/>
      <x:c r="M198" s="24"/>
    </x:row>
    <x:row r="199">
      <x:c r="A199" s="80"/>
      <x:c r="B199" s="80"/>
      <x:c r="C199" s="25"/>
      <x:c r="D199" s="88"/>
      <x:c r="E199" s="25"/>
      <x:c r="F199" s="80"/>
      <x:c r="G199" s="25"/>
      <x:c r="H199" s="27"/>
      <x:c r="I199" s="89"/>
      <x:c r="J199" s="89"/>
      <x:c r="K199" s="89"/>
      <x:c r="L199" s="24"/>
      <x:c r="M199" s="24"/>
    </x:row>
    <x:row r="200">
      <x:c r="A200" s="80"/>
      <x:c r="B200" s="80"/>
      <x:c r="C200" s="25"/>
      <x:c r="D200" s="88"/>
      <x:c r="E200" s="25"/>
      <x:c r="F200" s="80"/>
      <x:c r="G200" s="25"/>
      <x:c r="H200" s="27"/>
      <x:c r="I200" s="89"/>
      <x:c r="J200" s="89"/>
      <x:c r="K200" s="89"/>
      <x:c r="L200" s="24"/>
      <x:c r="M200" s="24"/>
    </x:row>
    <x:row r="201">
      <x:c r="A201" s="80"/>
      <x:c r="B201" s="80"/>
      <x:c r="C201" s="25"/>
      <x:c r="D201" s="88"/>
      <x:c r="E201" s="25"/>
      <x:c r="F201" s="80"/>
      <x:c r="G201" s="25"/>
      <x:c r="H201" s="27"/>
      <x:c r="I201" s="89"/>
      <x:c r="J201" s="89"/>
      <x:c r="K201" s="89"/>
      <x:c r="L201" s="24"/>
      <x:c r="M201" s="24"/>
    </x:row>
    <x:row r="202">
      <x:c r="A202" s="80"/>
      <x:c r="B202" s="80"/>
      <x:c r="C202" s="25"/>
      <x:c r="D202" s="88"/>
      <x:c r="E202" s="25"/>
      <x:c r="F202" s="80"/>
      <x:c r="G202" s="25"/>
      <x:c r="H202" s="27"/>
      <x:c r="I202" s="89"/>
      <x:c r="J202" s="89"/>
      <x:c r="K202" s="89"/>
      <x:c r="L202" s="24"/>
      <x:c r="M202" s="24"/>
    </x:row>
    <x:row r="203">
      <x:c r="A203" s="80"/>
      <x:c r="B203" s="80"/>
      <x:c r="C203" s="25"/>
      <x:c r="D203" s="88"/>
      <x:c r="E203" s="25"/>
      <x:c r="F203" s="80"/>
      <x:c r="G203" s="25"/>
      <x:c r="H203" s="27"/>
      <x:c r="I203" s="89"/>
      <x:c r="J203" s="89"/>
      <x:c r="K203" s="89"/>
      <x:c r="L203" s="24"/>
      <x:c r="M203" s="24"/>
    </x:row>
    <x:row r="204">
      <x:c r="A204" s="80"/>
      <x:c r="B204" s="80"/>
      <x:c r="C204" s="25"/>
      <x:c r="D204" s="88"/>
      <x:c r="E204" s="25"/>
      <x:c r="F204" s="80"/>
      <x:c r="G204" s="25"/>
      <x:c r="H204" s="27"/>
      <x:c r="I204" s="89"/>
      <x:c r="J204" s="89"/>
      <x:c r="K204" s="89"/>
      <x:c r="L204" s="24"/>
      <x:c r="M204" s="24"/>
    </x:row>
  </x:sheetData>
  <x:mergeCells>
    <x:mergeCell ref="A1:M1"/>
    <x:mergeCell ref="A2:M2"/>
  </x:mergeCells>
  <x:dataValidations count="8">
    <x:dataValidation type="list" sqref="C5:C204">
      <x:formula1>'Code Lists'!$A$5:$A$8</x:formula1>
    </x:dataValidation>
    <x:dataValidation type="list" sqref="L5:L204">
      <x:formula1>'Code Lists'!$B$5:$B$6</x:formula1>
    </x:dataValidation>
    <x:dataValidation type="list" sqref="E5:E204">
      <x:formula1>'Code Lists'!$C$5:$C$6</x:formula1>
    </x:dataValidation>
    <x:dataValidation type="list" sqref="H5:H204">
      <x:formula1>'Code Lists'!$H$5:$H$8</x:formula1>
    </x:dataValidation>
    <x:dataValidation type="list" sqref="G5:G204">
      <x:formula1>'Code Lists'!$I$5:$I$8</x:formula1>
    </x:dataValidation>
    <x:dataValidation type="whole" operator="between" sqref="I5:I204">
      <x:formula1>0</x:formula1>
      <x:formula2>1000000</x:formula2>
    </x:dataValidation>
    <x:dataValidation type="whole" operator="between" sqref="J5:J204">
      <x:formula1>0</x:formula1>
      <x:formula2>1000000</x:formula2>
    </x:dataValidation>
    <x:dataValidation type="whole" operator="between" sqref="K5:K204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3d39618f309493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  <x:selection pane="topRight" activeCell="C1" sqref="C1"/>
      <x:selection pane="bottomLeft" activeCell="A5" sqref="A5"/>
      <x:selection pane="bottomRight" activeCell="C5" sqref="C5"/>
    </x:sheetView>
  </x:sheetViews>
  <x:sheetFormatPr defaultRowHeight="15"/>
  <x:cols>
    <x:col min="1" max="1" width="19" hidden="0" customWidth="1"/>
    <x:col min="2" max="2" width="19" hidden="0" customWidth="1"/>
    <x:col min="3" max="3" width="15" hidden="0" customWidth="1"/>
    <x:col min="4" max="4" width="15" hidden="0" customWidth="1"/>
    <x:col min="5" max="5" width="19" hidden="0" customWidth="1"/>
    <x:col min="6" max="6" width="15" hidden="0" customWidth="1"/>
    <x:col min="7" max="7" width="15" hidden="0" customWidth="1"/>
    <x:col min="8" max="8" width="15" hidden="0" customWidth="1"/>
    <x:col min="9" max="9" width="19" hidden="0" customWidth="1"/>
    <x:col min="10" max="10" width="24" hidden="0" customWidth="1"/>
    <x:col min="11" max="11" width="15" hidden="0" customWidth="1"/>
    <x:col min="12" max="12" width="15" hidden="0" customWidth="1"/>
    <x:col min="13" max="13" width="22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8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8" hidden="0" customWidth="1"/>
    <x:col min="29" max="29" width="24" hidden="0" customWidth="1"/>
    <x:col min="30" max="30" width="24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22" hidden="0" customWidth="1"/>
    <x:col min="41" max="41" width="15" hidden="0" customWidth="1"/>
    <x:col min="42" max="42" width="30" hidden="0" customWidth="1"/>
    <x:col min="43" max="43" width="22" hidden="0" customWidth="1"/>
    <x:col min="44" max="44" width="15" hidden="0" customWidth="1"/>
    <x:col min="45" max="45" width="15" hidden="0" customWidth="1"/>
    <x:col min="46" max="46" width="15" hidden="0" customWidth="1"/>
    <x:col min="47" max="47" width="24" hidden="0" customWidth="1"/>
    <x:col min="48" max="48" width="15" hidden="0" customWidth="1"/>
    <x:col min="49" max="49" width="18" hidden="0" customWidth="1"/>
    <x:col min="50" max="50" width="18" hidden="0" customWidth="1"/>
    <x:col min="51" max="51" width="30" hidden="0" customWidth="1"/>
    <x:col min="52" max="52" width="18" hidden="0" customWidth="1"/>
    <x:col min="53" max="53" width="19" hidden="0" customWidth="1"/>
    <x:col min="54" max="54" width="19" hidden="0" customWidth="1"/>
    <x:col min="55" max="55" width="19" hidden="0" customWidth="1"/>
    <x:col min="56" max="56" width="15" hidden="0" customWidth="1"/>
  </x:cols>
  <x:sheetData>
    <x:row r="1" ht="30" customHeight="1">
      <x:c r="A1" s="3" t="str">
        <x:v>Attempts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2" customHeight="1">
      <x:c r="A2" s="7" t="str">
        <x:v>REAL ENTRY - de-identified attempt-level evidence. student_id and student_username are intentionally excluded.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46" customHeight="1">
      <x:c r="A4" s="67" t="str">
        <x:v>attempt_id</x:v>
      </x:c>
      <x:c r="B4" s="67" t="str">
        <x:v>session_id</x:v>
      </x:c>
      <x:c r="C4" s="71" t="str">
        <x:v>grade</x:v>
      </x:c>
      <x:c r="D4" s="71" t="str">
        <x:v>mode</x:v>
      </x:c>
      <x:c r="E4" s="67" t="str">
        <x:v>activity_id</x:v>
      </x:c>
      <x:c r="F4" s="75" t="str">
        <x:v>game_type</x:v>
      </x:c>
      <x:c r="G4" s="75" t="str">
        <x:v>task_type</x:v>
      </x:c>
      <x:c r="H4" s="71" t="str">
        <x:v>task_family</x:v>
      </x:c>
      <x:c r="I4" s="67" t="str">
        <x:v>prompt_id</x:v>
      </x:c>
      <x:c r="J4" s="71" t="str">
        <x:v>target_text</x:v>
      </x:c>
      <x:c r="K4" s="87" t="str">
        <x:v>attempt_no</x:v>
      </x:c>
      <x:c r="L4" s="75" t="str">
        <x:v>valid_audio</x:v>
      </x:c>
      <x:c r="M4" s="75" t="str">
        <x:v>invalid_reason</x:v>
      </x:c>
      <x:c r="N4" s="87" t="str">
        <x:v>server_audio_duration_ms</x:v>
      </x:c>
      <x:c r="O4" s="87" t="str">
        <x:v>speech_duration_sec</x:v>
      </x:c>
      <x:c r="P4" s="87" t="str">
        <x:v>silence_ratio</x:v>
      </x:c>
      <x:c r="Q4" s="87" t="str">
        <x:v>pause_count</x:v>
      </x:c>
      <x:c r="R4" s="87" t="str">
        <x:v>audio_quality_score</x:v>
      </x:c>
      <x:c r="S4" s="75" t="str">
        <x:v>audio_quality_label</x:v>
      </x:c>
      <x:c r="T4" s="75" t="str">
        <x:v>word_reading_target_word</x:v>
      </x:c>
      <x:c r="U4" s="75" t="str">
        <x:v>word_reading_asr_text</x:v>
      </x:c>
      <x:c r="V4" s="75" t="str">
        <x:v>word_reading_correct</x:v>
      </x:c>
      <x:c r="W4" s="87" t="str">
        <x:v>word_reading_edit_distance</x:v>
      </x:c>
      <x:c r="X4" s="87" t="str">
        <x:v>word_reading_similarity_score</x:v>
      </x:c>
      <x:c r="Y4" s="87" t="str">
        <x:v>character_error_rate</x:v>
      </x:c>
      <x:c r="Z4" s="87" t="str">
        <x:v>word_error_rate</x:v>
      </x:c>
      <x:c r="AA4" s="75" t="str">
        <x:v>possible_error</x:v>
      </x:c>
      <x:c r="AB4" s="75" t="str">
        <x:v>phoneme_status</x:v>
      </x:c>
      <x:c r="AC4" s="75" t="str">
        <x:v>target_phonemes</x:v>
      </x:c>
      <x:c r="AD4" s="75" t="str">
        <x:v>asr_phonemes</x:v>
      </x:c>
      <x:c r="AE4" s="87" t="str">
        <x:v>phoneme_edit_distance</x:v>
      </x:c>
      <x:c r="AF4" s="87" t="str">
        <x:v>phoneme_error_rate</x:v>
      </x:c>
      <x:c r="AG4" s="75" t="str">
        <x:v>phoneme_initial_sound_error</x:v>
      </x:c>
      <x:c r="AH4" s="75" t="str">
        <x:v>phoneme_final_sound_error</x:v>
      </x:c>
      <x:c r="AI4" s="75" t="str">
        <x:v>phoneme_vowel_mismatch</x:v>
      </x:c>
      <x:c r="AJ4" s="75" t="str">
        <x:v>phoneme_consonant_cluster_error</x:v>
      </x:c>
      <x:c r="AK4" s="87" t="str">
        <x:v>phoneme_deletion_count</x:v>
      </x:c>
      <x:c r="AL4" s="87" t="str">
        <x:v>phoneme_insertion_count</x:v>
      </x:c>
      <x:c r="AM4" s="87" t="str">
        <x:v>phoneme_substitution_count</x:v>
      </x:c>
      <x:c r="AN4" s="75" t="str">
        <x:v>phoneme_error_pattern</x:v>
      </x:c>
      <x:c r="AO4" s="87" t="str">
        <x:v>phoneme_confidence</x:v>
      </x:c>
      <x:c r="AP4" s="75" t="str">
        <x:v>phoneme_warnings</x:v>
      </x:c>
      <x:c r="AQ4" s="75" t="str">
        <x:v>pronunciation_model_prediction</x:v>
      </x:c>
      <x:c r="AR4" s="87" t="str">
        <x:v>pronunciation_model_score</x:v>
      </x:c>
      <x:c r="AS4" s="87" t="str">
        <x:v>stars_earned</x:v>
      </x:c>
      <x:c r="AT4" s="79" t="str">
        <x:v>manual_item_correct</x:v>
      </x:c>
      <x:c r="AU4" s="79" t="str">
        <x:v>manual_teacher_transcript</x:v>
      </x:c>
      <x:c r="AV4" s="79" t="str">
        <x:v>manual_error_type</x:v>
      </x:c>
      <x:c r="AW4" s="79" t="str">
        <x:v>speech_support_label</x:v>
      </x:c>
      <x:c r="AX4" s="79" t="str">
        <x:v>label_confidence</x:v>
      </x:c>
      <x:c r="AY4" s="79" t="str">
        <x:v>label_notes</x:v>
      </x:c>
      <x:c r="AZ4" s="79" t="str">
        <x:v>labelled_by</x:v>
      </x:c>
      <x:c r="BA4" s="79" t="str">
        <x:v>labelled_at</x:v>
      </x:c>
      <x:c r="BB4" s="75" t="str">
        <x:v>created_at</x:v>
      </x:c>
      <x:c r="BC4" s="67" t="str">
        <x:v>participant_code</x:v>
      </x:c>
      <x:c r="BD4" s="75" t="str">
        <x:v>is_dummy_data</x:v>
      </x:c>
    </x:row>
    <x:row r="5">
      <x:c r="A5" s="80"/>
      <x:c r="B5" s="80"/>
      <x:c r="C5" s="25"/>
      <x:c r="D5" s="25"/>
      <x:c r="E5" s="80"/>
      <x:c r="F5" s="24"/>
      <x:c r="G5" s="24"/>
      <x:c r="H5" s="25"/>
      <x:c r="I5" s="80"/>
      <x:c r="J5" s="25"/>
      <x:c r="K5" s="89"/>
      <x:c r="L5" s="83"/>
      <x:c r="M5" s="24"/>
      <x:c r="N5" s="90"/>
      <x:c r="O5" s="90"/>
      <x:c r="P5" s="91"/>
      <x:c r="Q5" s="89"/>
      <x:c r="R5" s="91"/>
      <x:c r="S5" s="24"/>
      <x:c r="T5" s="24"/>
      <x:c r="U5" s="24"/>
      <x:c r="V5" s="83"/>
      <x:c r="W5" s="89"/>
      <x:c r="X5" s="91"/>
      <x:c r="Y5" s="91"/>
      <x:c r="Z5" s="91"/>
      <x:c r="AA5" s="24"/>
      <x:c r="AB5" s="24"/>
      <x:c r="AC5" s="24"/>
      <x:c r="AD5" s="24"/>
      <x:c r="AE5" s="89"/>
      <x:c r="AF5" s="91"/>
      <x:c r="AG5" s="83"/>
      <x:c r="AH5" s="83"/>
      <x:c r="AI5" s="83"/>
      <x:c r="AJ5" s="83"/>
      <x:c r="AK5" s="89"/>
      <x:c r="AL5" s="89"/>
      <x:c r="AM5" s="89"/>
      <x:c r="AN5" s="24"/>
      <x:c r="AO5" s="91"/>
      <x:c r="AP5" s="24"/>
      <x:c r="AQ5" s="24"/>
      <x:c r="AR5" s="91"/>
      <x:c r="AS5" s="89"/>
      <x:c r="AT5" s="92"/>
      <x:c r="AU5" s="27"/>
      <x:c r="AV5" s="27"/>
      <x:c r="AW5" s="27"/>
      <x:c r="AX5" s="93"/>
      <x:c r="AY5" s="27"/>
      <x:c r="AZ5" s="27"/>
      <x:c r="BA5" s="94"/>
      <x:c r="BB5" s="82"/>
      <x:c r="BC5" s="80"/>
      <x:c r="BD5" s="83"/>
    </x:row>
    <x:row r="6">
      <x:c r="A6" s="80"/>
      <x:c r="B6" s="80"/>
      <x:c r="C6" s="25"/>
      <x:c r="D6" s="25"/>
      <x:c r="E6" s="80"/>
      <x:c r="F6" s="24"/>
      <x:c r="G6" s="24"/>
      <x:c r="H6" s="25"/>
      <x:c r="I6" s="80"/>
      <x:c r="J6" s="25"/>
      <x:c r="K6" s="89"/>
      <x:c r="L6" s="83"/>
      <x:c r="M6" s="24"/>
      <x:c r="N6" s="90"/>
      <x:c r="O6" s="90"/>
      <x:c r="P6" s="91"/>
      <x:c r="Q6" s="89"/>
      <x:c r="R6" s="91"/>
      <x:c r="S6" s="24"/>
      <x:c r="T6" s="24"/>
      <x:c r="U6" s="24"/>
      <x:c r="V6" s="83"/>
      <x:c r="W6" s="89"/>
      <x:c r="X6" s="91"/>
      <x:c r="Y6" s="91"/>
      <x:c r="Z6" s="91"/>
      <x:c r="AA6" s="24"/>
      <x:c r="AB6" s="24"/>
      <x:c r="AC6" s="24"/>
      <x:c r="AD6" s="24"/>
      <x:c r="AE6" s="89"/>
      <x:c r="AF6" s="91"/>
      <x:c r="AG6" s="83"/>
      <x:c r="AH6" s="83"/>
      <x:c r="AI6" s="83"/>
      <x:c r="AJ6" s="83"/>
      <x:c r="AK6" s="89"/>
      <x:c r="AL6" s="89"/>
      <x:c r="AM6" s="89"/>
      <x:c r="AN6" s="24"/>
      <x:c r="AO6" s="91"/>
      <x:c r="AP6" s="24"/>
      <x:c r="AQ6" s="24"/>
      <x:c r="AR6" s="91"/>
      <x:c r="AS6" s="89"/>
      <x:c r="AT6" s="92"/>
      <x:c r="AU6" s="27"/>
      <x:c r="AV6" s="27"/>
      <x:c r="AW6" s="27"/>
      <x:c r="AX6" s="93"/>
      <x:c r="AY6" s="27"/>
      <x:c r="AZ6" s="27"/>
      <x:c r="BA6" s="94"/>
      <x:c r="BB6" s="82"/>
      <x:c r="BC6" s="80"/>
      <x:c r="BD6" s="83"/>
    </x:row>
    <x:row r="7">
      <x:c r="A7" s="80"/>
      <x:c r="B7" s="80"/>
      <x:c r="C7" s="25"/>
      <x:c r="D7" s="25"/>
      <x:c r="E7" s="80"/>
      <x:c r="F7" s="24"/>
      <x:c r="G7" s="24"/>
      <x:c r="H7" s="25"/>
      <x:c r="I7" s="80"/>
      <x:c r="J7" s="25"/>
      <x:c r="K7" s="89"/>
      <x:c r="L7" s="83"/>
      <x:c r="M7" s="24"/>
      <x:c r="N7" s="90"/>
      <x:c r="O7" s="90"/>
      <x:c r="P7" s="91"/>
      <x:c r="Q7" s="89"/>
      <x:c r="R7" s="91"/>
      <x:c r="S7" s="24"/>
      <x:c r="T7" s="24"/>
      <x:c r="U7" s="24"/>
      <x:c r="V7" s="83"/>
      <x:c r="W7" s="89"/>
      <x:c r="X7" s="91"/>
      <x:c r="Y7" s="91"/>
      <x:c r="Z7" s="91"/>
      <x:c r="AA7" s="24"/>
      <x:c r="AB7" s="24"/>
      <x:c r="AC7" s="24"/>
      <x:c r="AD7" s="24"/>
      <x:c r="AE7" s="89"/>
      <x:c r="AF7" s="91"/>
      <x:c r="AG7" s="83"/>
      <x:c r="AH7" s="83"/>
      <x:c r="AI7" s="83"/>
      <x:c r="AJ7" s="83"/>
      <x:c r="AK7" s="89"/>
      <x:c r="AL7" s="89"/>
      <x:c r="AM7" s="89"/>
      <x:c r="AN7" s="24"/>
      <x:c r="AO7" s="91"/>
      <x:c r="AP7" s="24"/>
      <x:c r="AQ7" s="24"/>
      <x:c r="AR7" s="91"/>
      <x:c r="AS7" s="89"/>
      <x:c r="AT7" s="92"/>
      <x:c r="AU7" s="27"/>
      <x:c r="AV7" s="27"/>
      <x:c r="AW7" s="27"/>
      <x:c r="AX7" s="93"/>
      <x:c r="AY7" s="27"/>
      <x:c r="AZ7" s="27"/>
      <x:c r="BA7" s="94"/>
      <x:c r="BB7" s="82"/>
      <x:c r="BC7" s="80"/>
      <x:c r="BD7" s="83"/>
    </x:row>
    <x:row r="8">
      <x:c r="A8" s="80"/>
      <x:c r="B8" s="80"/>
      <x:c r="C8" s="25"/>
      <x:c r="D8" s="25"/>
      <x:c r="E8" s="80"/>
      <x:c r="F8" s="24"/>
      <x:c r="G8" s="24"/>
      <x:c r="H8" s="25"/>
      <x:c r="I8" s="80"/>
      <x:c r="J8" s="25"/>
      <x:c r="K8" s="89"/>
      <x:c r="L8" s="83"/>
      <x:c r="M8" s="24"/>
      <x:c r="N8" s="90"/>
      <x:c r="O8" s="90"/>
      <x:c r="P8" s="91"/>
      <x:c r="Q8" s="89"/>
      <x:c r="R8" s="91"/>
      <x:c r="S8" s="24"/>
      <x:c r="T8" s="24"/>
      <x:c r="U8" s="24"/>
      <x:c r="V8" s="83"/>
      <x:c r="W8" s="89"/>
      <x:c r="X8" s="91"/>
      <x:c r="Y8" s="91"/>
      <x:c r="Z8" s="91"/>
      <x:c r="AA8" s="24"/>
      <x:c r="AB8" s="24"/>
      <x:c r="AC8" s="24"/>
      <x:c r="AD8" s="24"/>
      <x:c r="AE8" s="89"/>
      <x:c r="AF8" s="91"/>
      <x:c r="AG8" s="83"/>
      <x:c r="AH8" s="83"/>
      <x:c r="AI8" s="83"/>
      <x:c r="AJ8" s="83"/>
      <x:c r="AK8" s="89"/>
      <x:c r="AL8" s="89"/>
      <x:c r="AM8" s="89"/>
      <x:c r="AN8" s="24"/>
      <x:c r="AO8" s="91"/>
      <x:c r="AP8" s="24"/>
      <x:c r="AQ8" s="24"/>
      <x:c r="AR8" s="91"/>
      <x:c r="AS8" s="89"/>
      <x:c r="AT8" s="92"/>
      <x:c r="AU8" s="27"/>
      <x:c r="AV8" s="27"/>
      <x:c r="AW8" s="27"/>
      <x:c r="AX8" s="93"/>
      <x:c r="AY8" s="27"/>
      <x:c r="AZ8" s="27"/>
      <x:c r="BA8" s="94"/>
      <x:c r="BB8" s="82"/>
      <x:c r="BC8" s="80"/>
      <x:c r="BD8" s="83"/>
    </x:row>
    <x:row r="9">
      <x:c r="A9" s="80"/>
      <x:c r="B9" s="80"/>
      <x:c r="C9" s="25"/>
      <x:c r="D9" s="25"/>
      <x:c r="E9" s="80"/>
      <x:c r="F9" s="24"/>
      <x:c r="G9" s="24"/>
      <x:c r="H9" s="25"/>
      <x:c r="I9" s="80"/>
      <x:c r="J9" s="25"/>
      <x:c r="K9" s="89"/>
      <x:c r="L9" s="83"/>
      <x:c r="M9" s="24"/>
      <x:c r="N9" s="90"/>
      <x:c r="O9" s="90"/>
      <x:c r="P9" s="91"/>
      <x:c r="Q9" s="89"/>
      <x:c r="R9" s="91"/>
      <x:c r="S9" s="24"/>
      <x:c r="T9" s="24"/>
      <x:c r="U9" s="24"/>
      <x:c r="V9" s="83"/>
      <x:c r="W9" s="89"/>
      <x:c r="X9" s="91"/>
      <x:c r="Y9" s="91"/>
      <x:c r="Z9" s="91"/>
      <x:c r="AA9" s="24"/>
      <x:c r="AB9" s="24"/>
      <x:c r="AC9" s="24"/>
      <x:c r="AD9" s="24"/>
      <x:c r="AE9" s="89"/>
      <x:c r="AF9" s="91"/>
      <x:c r="AG9" s="83"/>
      <x:c r="AH9" s="83"/>
      <x:c r="AI9" s="83"/>
      <x:c r="AJ9" s="83"/>
      <x:c r="AK9" s="89"/>
      <x:c r="AL9" s="89"/>
      <x:c r="AM9" s="89"/>
      <x:c r="AN9" s="24"/>
      <x:c r="AO9" s="91"/>
      <x:c r="AP9" s="24"/>
      <x:c r="AQ9" s="24"/>
      <x:c r="AR9" s="91"/>
      <x:c r="AS9" s="89"/>
      <x:c r="AT9" s="92"/>
      <x:c r="AU9" s="27"/>
      <x:c r="AV9" s="27"/>
      <x:c r="AW9" s="27"/>
      <x:c r="AX9" s="93"/>
      <x:c r="AY9" s="27"/>
      <x:c r="AZ9" s="27"/>
      <x:c r="BA9" s="94"/>
      <x:c r="BB9" s="82"/>
      <x:c r="BC9" s="80"/>
      <x:c r="BD9" s="83"/>
    </x:row>
    <x:row r="10">
      <x:c r="A10" s="80"/>
      <x:c r="B10" s="80"/>
      <x:c r="C10" s="25"/>
      <x:c r="D10" s="25"/>
      <x:c r="E10" s="80"/>
      <x:c r="F10" s="24"/>
      <x:c r="G10" s="24"/>
      <x:c r="H10" s="25"/>
      <x:c r="I10" s="80"/>
      <x:c r="J10" s="25"/>
      <x:c r="K10" s="89"/>
      <x:c r="L10" s="83"/>
      <x:c r="M10" s="24"/>
      <x:c r="N10" s="90"/>
      <x:c r="O10" s="90"/>
      <x:c r="P10" s="91"/>
      <x:c r="Q10" s="89"/>
      <x:c r="R10" s="91"/>
      <x:c r="S10" s="24"/>
      <x:c r="T10" s="24"/>
      <x:c r="U10" s="24"/>
      <x:c r="V10" s="83"/>
      <x:c r="W10" s="89"/>
      <x:c r="X10" s="91"/>
      <x:c r="Y10" s="91"/>
      <x:c r="Z10" s="91"/>
      <x:c r="AA10" s="24"/>
      <x:c r="AB10" s="24"/>
      <x:c r="AC10" s="24"/>
      <x:c r="AD10" s="24"/>
      <x:c r="AE10" s="89"/>
      <x:c r="AF10" s="91"/>
      <x:c r="AG10" s="83"/>
      <x:c r="AH10" s="83"/>
      <x:c r="AI10" s="83"/>
      <x:c r="AJ10" s="83"/>
      <x:c r="AK10" s="89"/>
      <x:c r="AL10" s="89"/>
      <x:c r="AM10" s="89"/>
      <x:c r="AN10" s="24"/>
      <x:c r="AO10" s="91"/>
      <x:c r="AP10" s="24"/>
      <x:c r="AQ10" s="24"/>
      <x:c r="AR10" s="91"/>
      <x:c r="AS10" s="89"/>
      <x:c r="AT10" s="92"/>
      <x:c r="AU10" s="27"/>
      <x:c r="AV10" s="27"/>
      <x:c r="AW10" s="27"/>
      <x:c r="AX10" s="93"/>
      <x:c r="AY10" s="27"/>
      <x:c r="AZ10" s="27"/>
      <x:c r="BA10" s="94"/>
      <x:c r="BB10" s="82"/>
      <x:c r="BC10" s="80"/>
      <x:c r="BD10" s="83"/>
    </x:row>
    <x:row r="11">
      <x:c r="A11" s="80"/>
      <x:c r="B11" s="80"/>
      <x:c r="C11" s="25"/>
      <x:c r="D11" s="25"/>
      <x:c r="E11" s="80"/>
      <x:c r="F11" s="24"/>
      <x:c r="G11" s="24"/>
      <x:c r="H11" s="25"/>
      <x:c r="I11" s="80"/>
      <x:c r="J11" s="25"/>
      <x:c r="K11" s="89"/>
      <x:c r="L11" s="83"/>
      <x:c r="M11" s="24"/>
      <x:c r="N11" s="90"/>
      <x:c r="O11" s="90"/>
      <x:c r="P11" s="91"/>
      <x:c r="Q11" s="89"/>
      <x:c r="R11" s="91"/>
      <x:c r="S11" s="24"/>
      <x:c r="T11" s="24"/>
      <x:c r="U11" s="24"/>
      <x:c r="V11" s="83"/>
      <x:c r="W11" s="89"/>
      <x:c r="X11" s="91"/>
      <x:c r="Y11" s="91"/>
      <x:c r="Z11" s="91"/>
      <x:c r="AA11" s="24"/>
      <x:c r="AB11" s="24"/>
      <x:c r="AC11" s="24"/>
      <x:c r="AD11" s="24"/>
      <x:c r="AE11" s="89"/>
      <x:c r="AF11" s="91"/>
      <x:c r="AG11" s="83"/>
      <x:c r="AH11" s="83"/>
      <x:c r="AI11" s="83"/>
      <x:c r="AJ11" s="83"/>
      <x:c r="AK11" s="89"/>
      <x:c r="AL11" s="89"/>
      <x:c r="AM11" s="89"/>
      <x:c r="AN11" s="24"/>
      <x:c r="AO11" s="91"/>
      <x:c r="AP11" s="24"/>
      <x:c r="AQ11" s="24"/>
      <x:c r="AR11" s="91"/>
      <x:c r="AS11" s="89"/>
      <x:c r="AT11" s="92"/>
      <x:c r="AU11" s="27"/>
      <x:c r="AV11" s="27"/>
      <x:c r="AW11" s="27"/>
      <x:c r="AX11" s="93"/>
      <x:c r="AY11" s="27"/>
      <x:c r="AZ11" s="27"/>
      <x:c r="BA11" s="94"/>
      <x:c r="BB11" s="82"/>
      <x:c r="BC11" s="80"/>
      <x:c r="BD11" s="83"/>
    </x:row>
    <x:row r="12">
      <x:c r="A12" s="80"/>
      <x:c r="B12" s="80"/>
      <x:c r="C12" s="25"/>
      <x:c r="D12" s="25"/>
      <x:c r="E12" s="80"/>
      <x:c r="F12" s="24"/>
      <x:c r="G12" s="24"/>
      <x:c r="H12" s="25"/>
      <x:c r="I12" s="80"/>
      <x:c r="J12" s="25"/>
      <x:c r="K12" s="89"/>
      <x:c r="L12" s="83"/>
      <x:c r="M12" s="24"/>
      <x:c r="N12" s="90"/>
      <x:c r="O12" s="90"/>
      <x:c r="P12" s="91"/>
      <x:c r="Q12" s="89"/>
      <x:c r="R12" s="91"/>
      <x:c r="S12" s="24"/>
      <x:c r="T12" s="24"/>
      <x:c r="U12" s="24"/>
      <x:c r="V12" s="83"/>
      <x:c r="W12" s="89"/>
      <x:c r="X12" s="91"/>
      <x:c r="Y12" s="91"/>
      <x:c r="Z12" s="91"/>
      <x:c r="AA12" s="24"/>
      <x:c r="AB12" s="24"/>
      <x:c r="AC12" s="24"/>
      <x:c r="AD12" s="24"/>
      <x:c r="AE12" s="89"/>
      <x:c r="AF12" s="91"/>
      <x:c r="AG12" s="83"/>
      <x:c r="AH12" s="83"/>
      <x:c r="AI12" s="83"/>
      <x:c r="AJ12" s="83"/>
      <x:c r="AK12" s="89"/>
      <x:c r="AL12" s="89"/>
      <x:c r="AM12" s="89"/>
      <x:c r="AN12" s="24"/>
      <x:c r="AO12" s="91"/>
      <x:c r="AP12" s="24"/>
      <x:c r="AQ12" s="24"/>
      <x:c r="AR12" s="91"/>
      <x:c r="AS12" s="89"/>
      <x:c r="AT12" s="92"/>
      <x:c r="AU12" s="27"/>
      <x:c r="AV12" s="27"/>
      <x:c r="AW12" s="27"/>
      <x:c r="AX12" s="93"/>
      <x:c r="AY12" s="27"/>
      <x:c r="AZ12" s="27"/>
      <x:c r="BA12" s="94"/>
      <x:c r="BB12" s="82"/>
      <x:c r="BC12" s="80"/>
      <x:c r="BD12" s="83"/>
    </x:row>
    <x:row r="13">
      <x:c r="A13" s="80"/>
      <x:c r="B13" s="80"/>
      <x:c r="C13" s="25"/>
      <x:c r="D13" s="25"/>
      <x:c r="E13" s="80"/>
      <x:c r="F13" s="24"/>
      <x:c r="G13" s="24"/>
      <x:c r="H13" s="25"/>
      <x:c r="I13" s="80"/>
      <x:c r="J13" s="25"/>
      <x:c r="K13" s="89"/>
      <x:c r="L13" s="83"/>
      <x:c r="M13" s="24"/>
      <x:c r="N13" s="90"/>
      <x:c r="O13" s="90"/>
      <x:c r="P13" s="91"/>
      <x:c r="Q13" s="89"/>
      <x:c r="R13" s="91"/>
      <x:c r="S13" s="24"/>
      <x:c r="T13" s="24"/>
      <x:c r="U13" s="24"/>
      <x:c r="V13" s="83"/>
      <x:c r="W13" s="89"/>
      <x:c r="X13" s="91"/>
      <x:c r="Y13" s="91"/>
      <x:c r="Z13" s="91"/>
      <x:c r="AA13" s="24"/>
      <x:c r="AB13" s="24"/>
      <x:c r="AC13" s="24"/>
      <x:c r="AD13" s="24"/>
      <x:c r="AE13" s="89"/>
      <x:c r="AF13" s="91"/>
      <x:c r="AG13" s="83"/>
      <x:c r="AH13" s="83"/>
      <x:c r="AI13" s="83"/>
      <x:c r="AJ13" s="83"/>
      <x:c r="AK13" s="89"/>
      <x:c r="AL13" s="89"/>
      <x:c r="AM13" s="89"/>
      <x:c r="AN13" s="24"/>
      <x:c r="AO13" s="91"/>
      <x:c r="AP13" s="24"/>
      <x:c r="AQ13" s="24"/>
      <x:c r="AR13" s="91"/>
      <x:c r="AS13" s="89"/>
      <x:c r="AT13" s="92"/>
      <x:c r="AU13" s="27"/>
      <x:c r="AV13" s="27"/>
      <x:c r="AW13" s="27"/>
      <x:c r="AX13" s="93"/>
      <x:c r="AY13" s="27"/>
      <x:c r="AZ13" s="27"/>
      <x:c r="BA13" s="94"/>
      <x:c r="BB13" s="82"/>
      <x:c r="BC13" s="80"/>
      <x:c r="BD13" s="83"/>
    </x:row>
    <x:row r="14">
      <x:c r="A14" s="80"/>
      <x:c r="B14" s="80"/>
      <x:c r="C14" s="25"/>
      <x:c r="D14" s="25"/>
      <x:c r="E14" s="80"/>
      <x:c r="F14" s="24"/>
      <x:c r="G14" s="24"/>
      <x:c r="H14" s="25"/>
      <x:c r="I14" s="80"/>
      <x:c r="J14" s="25"/>
      <x:c r="K14" s="89"/>
      <x:c r="L14" s="83"/>
      <x:c r="M14" s="24"/>
      <x:c r="N14" s="90"/>
      <x:c r="O14" s="90"/>
      <x:c r="P14" s="91"/>
      <x:c r="Q14" s="89"/>
      <x:c r="R14" s="91"/>
      <x:c r="S14" s="24"/>
      <x:c r="T14" s="24"/>
      <x:c r="U14" s="24"/>
      <x:c r="V14" s="83"/>
      <x:c r="W14" s="89"/>
      <x:c r="X14" s="91"/>
      <x:c r="Y14" s="91"/>
      <x:c r="Z14" s="91"/>
      <x:c r="AA14" s="24"/>
      <x:c r="AB14" s="24"/>
      <x:c r="AC14" s="24"/>
      <x:c r="AD14" s="24"/>
      <x:c r="AE14" s="89"/>
      <x:c r="AF14" s="91"/>
      <x:c r="AG14" s="83"/>
      <x:c r="AH14" s="83"/>
      <x:c r="AI14" s="83"/>
      <x:c r="AJ14" s="83"/>
      <x:c r="AK14" s="89"/>
      <x:c r="AL14" s="89"/>
      <x:c r="AM14" s="89"/>
      <x:c r="AN14" s="24"/>
      <x:c r="AO14" s="91"/>
      <x:c r="AP14" s="24"/>
      <x:c r="AQ14" s="24"/>
      <x:c r="AR14" s="91"/>
      <x:c r="AS14" s="89"/>
      <x:c r="AT14" s="92"/>
      <x:c r="AU14" s="27"/>
      <x:c r="AV14" s="27"/>
      <x:c r="AW14" s="27"/>
      <x:c r="AX14" s="93"/>
      <x:c r="AY14" s="27"/>
      <x:c r="AZ14" s="27"/>
      <x:c r="BA14" s="94"/>
      <x:c r="BB14" s="82"/>
      <x:c r="BC14" s="80"/>
      <x:c r="BD14" s="83"/>
    </x:row>
    <x:row r="15">
      <x:c r="A15" s="80"/>
      <x:c r="B15" s="80"/>
      <x:c r="C15" s="25"/>
      <x:c r="D15" s="25"/>
      <x:c r="E15" s="80"/>
      <x:c r="F15" s="24"/>
      <x:c r="G15" s="24"/>
      <x:c r="H15" s="25"/>
      <x:c r="I15" s="80"/>
      <x:c r="J15" s="25"/>
      <x:c r="K15" s="89"/>
      <x:c r="L15" s="83"/>
      <x:c r="M15" s="24"/>
      <x:c r="N15" s="90"/>
      <x:c r="O15" s="90"/>
      <x:c r="P15" s="91"/>
      <x:c r="Q15" s="89"/>
      <x:c r="R15" s="91"/>
      <x:c r="S15" s="24"/>
      <x:c r="T15" s="24"/>
      <x:c r="U15" s="24"/>
      <x:c r="V15" s="83"/>
      <x:c r="W15" s="89"/>
      <x:c r="X15" s="91"/>
      <x:c r="Y15" s="91"/>
      <x:c r="Z15" s="91"/>
      <x:c r="AA15" s="24"/>
      <x:c r="AB15" s="24"/>
      <x:c r="AC15" s="24"/>
      <x:c r="AD15" s="24"/>
      <x:c r="AE15" s="89"/>
      <x:c r="AF15" s="91"/>
      <x:c r="AG15" s="83"/>
      <x:c r="AH15" s="83"/>
      <x:c r="AI15" s="83"/>
      <x:c r="AJ15" s="83"/>
      <x:c r="AK15" s="89"/>
      <x:c r="AL15" s="89"/>
      <x:c r="AM15" s="89"/>
      <x:c r="AN15" s="24"/>
      <x:c r="AO15" s="91"/>
      <x:c r="AP15" s="24"/>
      <x:c r="AQ15" s="24"/>
      <x:c r="AR15" s="91"/>
      <x:c r="AS15" s="89"/>
      <x:c r="AT15" s="92"/>
      <x:c r="AU15" s="27"/>
      <x:c r="AV15" s="27"/>
      <x:c r="AW15" s="27"/>
      <x:c r="AX15" s="93"/>
      <x:c r="AY15" s="27"/>
      <x:c r="AZ15" s="27"/>
      <x:c r="BA15" s="94"/>
      <x:c r="BB15" s="82"/>
      <x:c r="BC15" s="80"/>
      <x:c r="BD15" s="83"/>
    </x:row>
    <x:row r="16">
      <x:c r="A16" s="80"/>
      <x:c r="B16" s="80"/>
      <x:c r="C16" s="25"/>
      <x:c r="D16" s="25"/>
      <x:c r="E16" s="80"/>
      <x:c r="F16" s="24"/>
      <x:c r="G16" s="24"/>
      <x:c r="H16" s="25"/>
      <x:c r="I16" s="80"/>
      <x:c r="J16" s="25"/>
      <x:c r="K16" s="89"/>
      <x:c r="L16" s="83"/>
      <x:c r="M16" s="24"/>
      <x:c r="N16" s="90"/>
      <x:c r="O16" s="90"/>
      <x:c r="P16" s="91"/>
      <x:c r="Q16" s="89"/>
      <x:c r="R16" s="91"/>
      <x:c r="S16" s="24"/>
      <x:c r="T16" s="24"/>
      <x:c r="U16" s="24"/>
      <x:c r="V16" s="83"/>
      <x:c r="W16" s="89"/>
      <x:c r="X16" s="91"/>
      <x:c r="Y16" s="91"/>
      <x:c r="Z16" s="91"/>
      <x:c r="AA16" s="24"/>
      <x:c r="AB16" s="24"/>
      <x:c r="AC16" s="24"/>
      <x:c r="AD16" s="24"/>
      <x:c r="AE16" s="89"/>
      <x:c r="AF16" s="91"/>
      <x:c r="AG16" s="83"/>
      <x:c r="AH16" s="83"/>
      <x:c r="AI16" s="83"/>
      <x:c r="AJ16" s="83"/>
      <x:c r="AK16" s="89"/>
      <x:c r="AL16" s="89"/>
      <x:c r="AM16" s="89"/>
      <x:c r="AN16" s="24"/>
      <x:c r="AO16" s="91"/>
      <x:c r="AP16" s="24"/>
      <x:c r="AQ16" s="24"/>
      <x:c r="AR16" s="91"/>
      <x:c r="AS16" s="89"/>
      <x:c r="AT16" s="92"/>
      <x:c r="AU16" s="27"/>
      <x:c r="AV16" s="27"/>
      <x:c r="AW16" s="27"/>
      <x:c r="AX16" s="93"/>
      <x:c r="AY16" s="27"/>
      <x:c r="AZ16" s="27"/>
      <x:c r="BA16" s="94"/>
      <x:c r="BB16" s="82"/>
      <x:c r="BC16" s="80"/>
      <x:c r="BD16" s="83"/>
    </x:row>
    <x:row r="17">
      <x:c r="A17" s="80"/>
      <x:c r="B17" s="80"/>
      <x:c r="C17" s="25"/>
      <x:c r="D17" s="25"/>
      <x:c r="E17" s="80"/>
      <x:c r="F17" s="24"/>
      <x:c r="G17" s="24"/>
      <x:c r="H17" s="25"/>
      <x:c r="I17" s="80"/>
      <x:c r="J17" s="25"/>
      <x:c r="K17" s="89"/>
      <x:c r="L17" s="83"/>
      <x:c r="M17" s="24"/>
      <x:c r="N17" s="90"/>
      <x:c r="O17" s="90"/>
      <x:c r="P17" s="91"/>
      <x:c r="Q17" s="89"/>
      <x:c r="R17" s="91"/>
      <x:c r="S17" s="24"/>
      <x:c r="T17" s="24"/>
      <x:c r="U17" s="24"/>
      <x:c r="V17" s="83"/>
      <x:c r="W17" s="89"/>
      <x:c r="X17" s="91"/>
      <x:c r="Y17" s="91"/>
      <x:c r="Z17" s="91"/>
      <x:c r="AA17" s="24"/>
      <x:c r="AB17" s="24"/>
      <x:c r="AC17" s="24"/>
      <x:c r="AD17" s="24"/>
      <x:c r="AE17" s="89"/>
      <x:c r="AF17" s="91"/>
      <x:c r="AG17" s="83"/>
      <x:c r="AH17" s="83"/>
      <x:c r="AI17" s="83"/>
      <x:c r="AJ17" s="83"/>
      <x:c r="AK17" s="89"/>
      <x:c r="AL17" s="89"/>
      <x:c r="AM17" s="89"/>
      <x:c r="AN17" s="24"/>
      <x:c r="AO17" s="91"/>
      <x:c r="AP17" s="24"/>
      <x:c r="AQ17" s="24"/>
      <x:c r="AR17" s="91"/>
      <x:c r="AS17" s="89"/>
      <x:c r="AT17" s="92"/>
      <x:c r="AU17" s="27"/>
      <x:c r="AV17" s="27"/>
      <x:c r="AW17" s="27"/>
      <x:c r="AX17" s="93"/>
      <x:c r="AY17" s="27"/>
      <x:c r="AZ17" s="27"/>
      <x:c r="BA17" s="94"/>
      <x:c r="BB17" s="82"/>
      <x:c r="BC17" s="80"/>
      <x:c r="BD17" s="83"/>
    </x:row>
    <x:row r="18">
      <x:c r="A18" s="80"/>
      <x:c r="B18" s="80"/>
      <x:c r="C18" s="25"/>
      <x:c r="D18" s="25"/>
      <x:c r="E18" s="80"/>
      <x:c r="F18" s="24"/>
      <x:c r="G18" s="24"/>
      <x:c r="H18" s="25"/>
      <x:c r="I18" s="80"/>
      <x:c r="J18" s="25"/>
      <x:c r="K18" s="89"/>
      <x:c r="L18" s="83"/>
      <x:c r="M18" s="24"/>
      <x:c r="N18" s="90"/>
      <x:c r="O18" s="90"/>
      <x:c r="P18" s="91"/>
      <x:c r="Q18" s="89"/>
      <x:c r="R18" s="91"/>
      <x:c r="S18" s="24"/>
      <x:c r="T18" s="24"/>
      <x:c r="U18" s="24"/>
      <x:c r="V18" s="83"/>
      <x:c r="W18" s="89"/>
      <x:c r="X18" s="91"/>
      <x:c r="Y18" s="91"/>
      <x:c r="Z18" s="91"/>
      <x:c r="AA18" s="24"/>
      <x:c r="AB18" s="24"/>
      <x:c r="AC18" s="24"/>
      <x:c r="AD18" s="24"/>
      <x:c r="AE18" s="89"/>
      <x:c r="AF18" s="91"/>
      <x:c r="AG18" s="83"/>
      <x:c r="AH18" s="83"/>
      <x:c r="AI18" s="83"/>
      <x:c r="AJ18" s="83"/>
      <x:c r="AK18" s="89"/>
      <x:c r="AL18" s="89"/>
      <x:c r="AM18" s="89"/>
      <x:c r="AN18" s="24"/>
      <x:c r="AO18" s="91"/>
      <x:c r="AP18" s="24"/>
      <x:c r="AQ18" s="24"/>
      <x:c r="AR18" s="91"/>
      <x:c r="AS18" s="89"/>
      <x:c r="AT18" s="92"/>
      <x:c r="AU18" s="27"/>
      <x:c r="AV18" s="27"/>
      <x:c r="AW18" s="27"/>
      <x:c r="AX18" s="93"/>
      <x:c r="AY18" s="27"/>
      <x:c r="AZ18" s="27"/>
      <x:c r="BA18" s="94"/>
      <x:c r="BB18" s="82"/>
      <x:c r="BC18" s="80"/>
      <x:c r="BD18" s="83"/>
    </x:row>
    <x:row r="19">
      <x:c r="A19" s="80"/>
      <x:c r="B19" s="80"/>
      <x:c r="C19" s="25"/>
      <x:c r="D19" s="25"/>
      <x:c r="E19" s="80"/>
      <x:c r="F19" s="24"/>
      <x:c r="G19" s="24"/>
      <x:c r="H19" s="25"/>
      <x:c r="I19" s="80"/>
      <x:c r="J19" s="25"/>
      <x:c r="K19" s="89"/>
      <x:c r="L19" s="83"/>
      <x:c r="M19" s="24"/>
      <x:c r="N19" s="90"/>
      <x:c r="O19" s="90"/>
      <x:c r="P19" s="91"/>
      <x:c r="Q19" s="89"/>
      <x:c r="R19" s="91"/>
      <x:c r="S19" s="24"/>
      <x:c r="T19" s="24"/>
      <x:c r="U19" s="24"/>
      <x:c r="V19" s="83"/>
      <x:c r="W19" s="89"/>
      <x:c r="X19" s="91"/>
      <x:c r="Y19" s="91"/>
      <x:c r="Z19" s="91"/>
      <x:c r="AA19" s="24"/>
      <x:c r="AB19" s="24"/>
      <x:c r="AC19" s="24"/>
      <x:c r="AD19" s="24"/>
      <x:c r="AE19" s="89"/>
      <x:c r="AF19" s="91"/>
      <x:c r="AG19" s="83"/>
      <x:c r="AH19" s="83"/>
      <x:c r="AI19" s="83"/>
      <x:c r="AJ19" s="83"/>
      <x:c r="AK19" s="89"/>
      <x:c r="AL19" s="89"/>
      <x:c r="AM19" s="89"/>
      <x:c r="AN19" s="24"/>
      <x:c r="AO19" s="91"/>
      <x:c r="AP19" s="24"/>
      <x:c r="AQ19" s="24"/>
      <x:c r="AR19" s="91"/>
      <x:c r="AS19" s="89"/>
      <x:c r="AT19" s="92"/>
      <x:c r="AU19" s="27"/>
      <x:c r="AV19" s="27"/>
      <x:c r="AW19" s="27"/>
      <x:c r="AX19" s="93"/>
      <x:c r="AY19" s="27"/>
      <x:c r="AZ19" s="27"/>
      <x:c r="BA19" s="94"/>
      <x:c r="BB19" s="82"/>
      <x:c r="BC19" s="80"/>
      <x:c r="BD19" s="83"/>
    </x:row>
    <x:row r="20">
      <x:c r="A20" s="80"/>
      <x:c r="B20" s="80"/>
      <x:c r="C20" s="25"/>
      <x:c r="D20" s="25"/>
      <x:c r="E20" s="80"/>
      <x:c r="F20" s="24"/>
      <x:c r="G20" s="24"/>
      <x:c r="H20" s="25"/>
      <x:c r="I20" s="80"/>
      <x:c r="J20" s="25"/>
      <x:c r="K20" s="89"/>
      <x:c r="L20" s="83"/>
      <x:c r="M20" s="24"/>
      <x:c r="N20" s="90"/>
      <x:c r="O20" s="90"/>
      <x:c r="P20" s="91"/>
      <x:c r="Q20" s="89"/>
      <x:c r="R20" s="91"/>
      <x:c r="S20" s="24"/>
      <x:c r="T20" s="24"/>
      <x:c r="U20" s="24"/>
      <x:c r="V20" s="83"/>
      <x:c r="W20" s="89"/>
      <x:c r="X20" s="91"/>
      <x:c r="Y20" s="91"/>
      <x:c r="Z20" s="91"/>
      <x:c r="AA20" s="24"/>
      <x:c r="AB20" s="24"/>
      <x:c r="AC20" s="24"/>
      <x:c r="AD20" s="24"/>
      <x:c r="AE20" s="89"/>
      <x:c r="AF20" s="91"/>
      <x:c r="AG20" s="83"/>
      <x:c r="AH20" s="83"/>
      <x:c r="AI20" s="83"/>
      <x:c r="AJ20" s="83"/>
      <x:c r="AK20" s="89"/>
      <x:c r="AL20" s="89"/>
      <x:c r="AM20" s="89"/>
      <x:c r="AN20" s="24"/>
      <x:c r="AO20" s="91"/>
      <x:c r="AP20" s="24"/>
      <x:c r="AQ20" s="24"/>
      <x:c r="AR20" s="91"/>
      <x:c r="AS20" s="89"/>
      <x:c r="AT20" s="92"/>
      <x:c r="AU20" s="27"/>
      <x:c r="AV20" s="27"/>
      <x:c r="AW20" s="27"/>
      <x:c r="AX20" s="93"/>
      <x:c r="AY20" s="27"/>
      <x:c r="AZ20" s="27"/>
      <x:c r="BA20" s="94"/>
      <x:c r="BB20" s="82"/>
      <x:c r="BC20" s="80"/>
      <x:c r="BD20" s="83"/>
    </x:row>
    <x:row r="21">
      <x:c r="A21" s="80"/>
      <x:c r="B21" s="80"/>
      <x:c r="C21" s="25"/>
      <x:c r="D21" s="25"/>
      <x:c r="E21" s="80"/>
      <x:c r="F21" s="24"/>
      <x:c r="G21" s="24"/>
      <x:c r="H21" s="25"/>
      <x:c r="I21" s="80"/>
      <x:c r="J21" s="25"/>
      <x:c r="K21" s="89"/>
      <x:c r="L21" s="83"/>
      <x:c r="M21" s="24"/>
      <x:c r="N21" s="90"/>
      <x:c r="O21" s="90"/>
      <x:c r="P21" s="91"/>
      <x:c r="Q21" s="89"/>
      <x:c r="R21" s="91"/>
      <x:c r="S21" s="24"/>
      <x:c r="T21" s="24"/>
      <x:c r="U21" s="24"/>
      <x:c r="V21" s="83"/>
      <x:c r="W21" s="89"/>
      <x:c r="X21" s="91"/>
      <x:c r="Y21" s="91"/>
      <x:c r="Z21" s="91"/>
      <x:c r="AA21" s="24"/>
      <x:c r="AB21" s="24"/>
      <x:c r="AC21" s="24"/>
      <x:c r="AD21" s="24"/>
      <x:c r="AE21" s="89"/>
      <x:c r="AF21" s="91"/>
      <x:c r="AG21" s="83"/>
      <x:c r="AH21" s="83"/>
      <x:c r="AI21" s="83"/>
      <x:c r="AJ21" s="83"/>
      <x:c r="AK21" s="89"/>
      <x:c r="AL21" s="89"/>
      <x:c r="AM21" s="89"/>
      <x:c r="AN21" s="24"/>
      <x:c r="AO21" s="91"/>
      <x:c r="AP21" s="24"/>
      <x:c r="AQ21" s="24"/>
      <x:c r="AR21" s="91"/>
      <x:c r="AS21" s="89"/>
      <x:c r="AT21" s="92"/>
      <x:c r="AU21" s="27"/>
      <x:c r="AV21" s="27"/>
      <x:c r="AW21" s="27"/>
      <x:c r="AX21" s="93"/>
      <x:c r="AY21" s="27"/>
      <x:c r="AZ21" s="27"/>
      <x:c r="BA21" s="94"/>
      <x:c r="BB21" s="82"/>
      <x:c r="BC21" s="80"/>
      <x:c r="BD21" s="83"/>
    </x:row>
    <x:row r="22">
      <x:c r="A22" s="80"/>
      <x:c r="B22" s="80"/>
      <x:c r="C22" s="25"/>
      <x:c r="D22" s="25"/>
      <x:c r="E22" s="80"/>
      <x:c r="F22" s="24"/>
      <x:c r="G22" s="24"/>
      <x:c r="H22" s="25"/>
      <x:c r="I22" s="80"/>
      <x:c r="J22" s="25"/>
      <x:c r="K22" s="89"/>
      <x:c r="L22" s="83"/>
      <x:c r="M22" s="24"/>
      <x:c r="N22" s="90"/>
      <x:c r="O22" s="90"/>
      <x:c r="P22" s="91"/>
      <x:c r="Q22" s="89"/>
      <x:c r="R22" s="91"/>
      <x:c r="S22" s="24"/>
      <x:c r="T22" s="24"/>
      <x:c r="U22" s="24"/>
      <x:c r="V22" s="83"/>
      <x:c r="W22" s="89"/>
      <x:c r="X22" s="91"/>
      <x:c r="Y22" s="91"/>
      <x:c r="Z22" s="91"/>
      <x:c r="AA22" s="24"/>
      <x:c r="AB22" s="24"/>
      <x:c r="AC22" s="24"/>
      <x:c r="AD22" s="24"/>
      <x:c r="AE22" s="89"/>
      <x:c r="AF22" s="91"/>
      <x:c r="AG22" s="83"/>
      <x:c r="AH22" s="83"/>
      <x:c r="AI22" s="83"/>
      <x:c r="AJ22" s="83"/>
      <x:c r="AK22" s="89"/>
      <x:c r="AL22" s="89"/>
      <x:c r="AM22" s="89"/>
      <x:c r="AN22" s="24"/>
      <x:c r="AO22" s="91"/>
      <x:c r="AP22" s="24"/>
      <x:c r="AQ22" s="24"/>
      <x:c r="AR22" s="91"/>
      <x:c r="AS22" s="89"/>
      <x:c r="AT22" s="92"/>
      <x:c r="AU22" s="27"/>
      <x:c r="AV22" s="27"/>
      <x:c r="AW22" s="27"/>
      <x:c r="AX22" s="93"/>
      <x:c r="AY22" s="27"/>
      <x:c r="AZ22" s="27"/>
      <x:c r="BA22" s="94"/>
      <x:c r="BB22" s="82"/>
      <x:c r="BC22" s="80"/>
      <x:c r="BD22" s="83"/>
    </x:row>
    <x:row r="23">
      <x:c r="A23" s="80"/>
      <x:c r="B23" s="80"/>
      <x:c r="C23" s="25"/>
      <x:c r="D23" s="25"/>
      <x:c r="E23" s="80"/>
      <x:c r="F23" s="24"/>
      <x:c r="G23" s="24"/>
      <x:c r="H23" s="25"/>
      <x:c r="I23" s="80"/>
      <x:c r="J23" s="25"/>
      <x:c r="K23" s="89"/>
      <x:c r="L23" s="83"/>
      <x:c r="M23" s="24"/>
      <x:c r="N23" s="90"/>
      <x:c r="O23" s="90"/>
      <x:c r="P23" s="91"/>
      <x:c r="Q23" s="89"/>
      <x:c r="R23" s="91"/>
      <x:c r="S23" s="24"/>
      <x:c r="T23" s="24"/>
      <x:c r="U23" s="24"/>
      <x:c r="V23" s="83"/>
      <x:c r="W23" s="89"/>
      <x:c r="X23" s="91"/>
      <x:c r="Y23" s="91"/>
      <x:c r="Z23" s="91"/>
      <x:c r="AA23" s="24"/>
      <x:c r="AB23" s="24"/>
      <x:c r="AC23" s="24"/>
      <x:c r="AD23" s="24"/>
      <x:c r="AE23" s="89"/>
      <x:c r="AF23" s="91"/>
      <x:c r="AG23" s="83"/>
      <x:c r="AH23" s="83"/>
      <x:c r="AI23" s="83"/>
      <x:c r="AJ23" s="83"/>
      <x:c r="AK23" s="89"/>
      <x:c r="AL23" s="89"/>
      <x:c r="AM23" s="89"/>
      <x:c r="AN23" s="24"/>
      <x:c r="AO23" s="91"/>
      <x:c r="AP23" s="24"/>
      <x:c r="AQ23" s="24"/>
      <x:c r="AR23" s="91"/>
      <x:c r="AS23" s="89"/>
      <x:c r="AT23" s="92"/>
      <x:c r="AU23" s="27"/>
      <x:c r="AV23" s="27"/>
      <x:c r="AW23" s="27"/>
      <x:c r="AX23" s="93"/>
      <x:c r="AY23" s="27"/>
      <x:c r="AZ23" s="27"/>
      <x:c r="BA23" s="94"/>
      <x:c r="BB23" s="82"/>
      <x:c r="BC23" s="80"/>
      <x:c r="BD23" s="83"/>
    </x:row>
    <x:row r="24">
      <x:c r="A24" s="80"/>
      <x:c r="B24" s="80"/>
      <x:c r="C24" s="25"/>
      <x:c r="D24" s="25"/>
      <x:c r="E24" s="80"/>
      <x:c r="F24" s="24"/>
      <x:c r="G24" s="24"/>
      <x:c r="H24" s="25"/>
      <x:c r="I24" s="80"/>
      <x:c r="J24" s="25"/>
      <x:c r="K24" s="89"/>
      <x:c r="L24" s="83"/>
      <x:c r="M24" s="24"/>
      <x:c r="N24" s="90"/>
      <x:c r="O24" s="90"/>
      <x:c r="P24" s="91"/>
      <x:c r="Q24" s="89"/>
      <x:c r="R24" s="91"/>
      <x:c r="S24" s="24"/>
      <x:c r="T24" s="24"/>
      <x:c r="U24" s="24"/>
      <x:c r="V24" s="83"/>
      <x:c r="W24" s="89"/>
      <x:c r="X24" s="91"/>
      <x:c r="Y24" s="91"/>
      <x:c r="Z24" s="91"/>
      <x:c r="AA24" s="24"/>
      <x:c r="AB24" s="24"/>
      <x:c r="AC24" s="24"/>
      <x:c r="AD24" s="24"/>
      <x:c r="AE24" s="89"/>
      <x:c r="AF24" s="91"/>
      <x:c r="AG24" s="83"/>
      <x:c r="AH24" s="83"/>
      <x:c r="AI24" s="83"/>
      <x:c r="AJ24" s="83"/>
      <x:c r="AK24" s="89"/>
      <x:c r="AL24" s="89"/>
      <x:c r="AM24" s="89"/>
      <x:c r="AN24" s="24"/>
      <x:c r="AO24" s="91"/>
      <x:c r="AP24" s="24"/>
      <x:c r="AQ24" s="24"/>
      <x:c r="AR24" s="91"/>
      <x:c r="AS24" s="89"/>
      <x:c r="AT24" s="92"/>
      <x:c r="AU24" s="27"/>
      <x:c r="AV24" s="27"/>
      <x:c r="AW24" s="27"/>
      <x:c r="AX24" s="93"/>
      <x:c r="AY24" s="27"/>
      <x:c r="AZ24" s="27"/>
      <x:c r="BA24" s="94"/>
      <x:c r="BB24" s="82"/>
      <x:c r="BC24" s="80"/>
      <x:c r="BD24" s="83"/>
    </x:row>
    <x:row r="25">
      <x:c r="A25" s="80"/>
      <x:c r="B25" s="80"/>
      <x:c r="C25" s="25"/>
      <x:c r="D25" s="25"/>
      <x:c r="E25" s="80"/>
      <x:c r="F25" s="24"/>
      <x:c r="G25" s="24"/>
      <x:c r="H25" s="25"/>
      <x:c r="I25" s="80"/>
      <x:c r="J25" s="25"/>
      <x:c r="K25" s="89"/>
      <x:c r="L25" s="83"/>
      <x:c r="M25" s="24"/>
      <x:c r="N25" s="90"/>
      <x:c r="O25" s="90"/>
      <x:c r="P25" s="91"/>
      <x:c r="Q25" s="89"/>
      <x:c r="R25" s="91"/>
      <x:c r="S25" s="24"/>
      <x:c r="T25" s="24"/>
      <x:c r="U25" s="24"/>
      <x:c r="V25" s="83"/>
      <x:c r="W25" s="89"/>
      <x:c r="X25" s="91"/>
      <x:c r="Y25" s="91"/>
      <x:c r="Z25" s="91"/>
      <x:c r="AA25" s="24"/>
      <x:c r="AB25" s="24"/>
      <x:c r="AC25" s="24"/>
      <x:c r="AD25" s="24"/>
      <x:c r="AE25" s="89"/>
      <x:c r="AF25" s="91"/>
      <x:c r="AG25" s="83"/>
      <x:c r="AH25" s="83"/>
      <x:c r="AI25" s="83"/>
      <x:c r="AJ25" s="83"/>
      <x:c r="AK25" s="89"/>
      <x:c r="AL25" s="89"/>
      <x:c r="AM25" s="89"/>
      <x:c r="AN25" s="24"/>
      <x:c r="AO25" s="91"/>
      <x:c r="AP25" s="24"/>
      <x:c r="AQ25" s="24"/>
      <x:c r="AR25" s="91"/>
      <x:c r="AS25" s="89"/>
      <x:c r="AT25" s="92"/>
      <x:c r="AU25" s="27"/>
      <x:c r="AV25" s="27"/>
      <x:c r="AW25" s="27"/>
      <x:c r="AX25" s="93"/>
      <x:c r="AY25" s="27"/>
      <x:c r="AZ25" s="27"/>
      <x:c r="BA25" s="94"/>
      <x:c r="BB25" s="82"/>
      <x:c r="BC25" s="80"/>
      <x:c r="BD25" s="83"/>
    </x:row>
    <x:row r="26">
      <x:c r="A26" s="80"/>
      <x:c r="B26" s="80"/>
      <x:c r="C26" s="25"/>
      <x:c r="D26" s="25"/>
      <x:c r="E26" s="80"/>
      <x:c r="F26" s="24"/>
      <x:c r="G26" s="24"/>
      <x:c r="H26" s="25"/>
      <x:c r="I26" s="80"/>
      <x:c r="J26" s="25"/>
      <x:c r="K26" s="89"/>
      <x:c r="L26" s="83"/>
      <x:c r="M26" s="24"/>
      <x:c r="N26" s="90"/>
      <x:c r="O26" s="90"/>
      <x:c r="P26" s="91"/>
      <x:c r="Q26" s="89"/>
      <x:c r="R26" s="91"/>
      <x:c r="S26" s="24"/>
      <x:c r="T26" s="24"/>
      <x:c r="U26" s="24"/>
      <x:c r="V26" s="83"/>
      <x:c r="W26" s="89"/>
      <x:c r="X26" s="91"/>
      <x:c r="Y26" s="91"/>
      <x:c r="Z26" s="91"/>
      <x:c r="AA26" s="24"/>
      <x:c r="AB26" s="24"/>
      <x:c r="AC26" s="24"/>
      <x:c r="AD26" s="24"/>
      <x:c r="AE26" s="89"/>
      <x:c r="AF26" s="91"/>
      <x:c r="AG26" s="83"/>
      <x:c r="AH26" s="83"/>
      <x:c r="AI26" s="83"/>
      <x:c r="AJ26" s="83"/>
      <x:c r="AK26" s="89"/>
      <x:c r="AL26" s="89"/>
      <x:c r="AM26" s="89"/>
      <x:c r="AN26" s="24"/>
      <x:c r="AO26" s="91"/>
      <x:c r="AP26" s="24"/>
      <x:c r="AQ26" s="24"/>
      <x:c r="AR26" s="91"/>
      <x:c r="AS26" s="89"/>
      <x:c r="AT26" s="92"/>
      <x:c r="AU26" s="27"/>
      <x:c r="AV26" s="27"/>
      <x:c r="AW26" s="27"/>
      <x:c r="AX26" s="93"/>
      <x:c r="AY26" s="27"/>
      <x:c r="AZ26" s="27"/>
      <x:c r="BA26" s="94"/>
      <x:c r="BB26" s="82"/>
      <x:c r="BC26" s="80"/>
      <x:c r="BD26" s="83"/>
    </x:row>
    <x:row r="27">
      <x:c r="A27" s="80"/>
      <x:c r="B27" s="80"/>
      <x:c r="C27" s="25"/>
      <x:c r="D27" s="25"/>
      <x:c r="E27" s="80"/>
      <x:c r="F27" s="24"/>
      <x:c r="G27" s="24"/>
      <x:c r="H27" s="25"/>
      <x:c r="I27" s="80"/>
      <x:c r="J27" s="25"/>
      <x:c r="K27" s="89"/>
      <x:c r="L27" s="83"/>
      <x:c r="M27" s="24"/>
      <x:c r="N27" s="90"/>
      <x:c r="O27" s="90"/>
      <x:c r="P27" s="91"/>
      <x:c r="Q27" s="89"/>
      <x:c r="R27" s="91"/>
      <x:c r="S27" s="24"/>
      <x:c r="T27" s="24"/>
      <x:c r="U27" s="24"/>
      <x:c r="V27" s="83"/>
      <x:c r="W27" s="89"/>
      <x:c r="X27" s="91"/>
      <x:c r="Y27" s="91"/>
      <x:c r="Z27" s="91"/>
      <x:c r="AA27" s="24"/>
      <x:c r="AB27" s="24"/>
      <x:c r="AC27" s="24"/>
      <x:c r="AD27" s="24"/>
      <x:c r="AE27" s="89"/>
      <x:c r="AF27" s="91"/>
      <x:c r="AG27" s="83"/>
      <x:c r="AH27" s="83"/>
      <x:c r="AI27" s="83"/>
      <x:c r="AJ27" s="83"/>
      <x:c r="AK27" s="89"/>
      <x:c r="AL27" s="89"/>
      <x:c r="AM27" s="89"/>
      <x:c r="AN27" s="24"/>
      <x:c r="AO27" s="91"/>
      <x:c r="AP27" s="24"/>
      <x:c r="AQ27" s="24"/>
      <x:c r="AR27" s="91"/>
      <x:c r="AS27" s="89"/>
      <x:c r="AT27" s="92"/>
      <x:c r="AU27" s="27"/>
      <x:c r="AV27" s="27"/>
      <x:c r="AW27" s="27"/>
      <x:c r="AX27" s="93"/>
      <x:c r="AY27" s="27"/>
      <x:c r="AZ27" s="27"/>
      <x:c r="BA27" s="94"/>
      <x:c r="BB27" s="82"/>
      <x:c r="BC27" s="80"/>
      <x:c r="BD27" s="83"/>
    </x:row>
    <x:row r="28">
      <x:c r="A28" s="80"/>
      <x:c r="B28" s="80"/>
      <x:c r="C28" s="25"/>
      <x:c r="D28" s="25"/>
      <x:c r="E28" s="80"/>
      <x:c r="F28" s="24"/>
      <x:c r="G28" s="24"/>
      <x:c r="H28" s="25"/>
      <x:c r="I28" s="80"/>
      <x:c r="J28" s="25"/>
      <x:c r="K28" s="89"/>
      <x:c r="L28" s="83"/>
      <x:c r="M28" s="24"/>
      <x:c r="N28" s="90"/>
      <x:c r="O28" s="90"/>
      <x:c r="P28" s="91"/>
      <x:c r="Q28" s="89"/>
      <x:c r="R28" s="91"/>
      <x:c r="S28" s="24"/>
      <x:c r="T28" s="24"/>
      <x:c r="U28" s="24"/>
      <x:c r="V28" s="83"/>
      <x:c r="W28" s="89"/>
      <x:c r="X28" s="91"/>
      <x:c r="Y28" s="91"/>
      <x:c r="Z28" s="91"/>
      <x:c r="AA28" s="24"/>
      <x:c r="AB28" s="24"/>
      <x:c r="AC28" s="24"/>
      <x:c r="AD28" s="24"/>
      <x:c r="AE28" s="89"/>
      <x:c r="AF28" s="91"/>
      <x:c r="AG28" s="83"/>
      <x:c r="AH28" s="83"/>
      <x:c r="AI28" s="83"/>
      <x:c r="AJ28" s="83"/>
      <x:c r="AK28" s="89"/>
      <x:c r="AL28" s="89"/>
      <x:c r="AM28" s="89"/>
      <x:c r="AN28" s="24"/>
      <x:c r="AO28" s="91"/>
      <x:c r="AP28" s="24"/>
      <x:c r="AQ28" s="24"/>
      <x:c r="AR28" s="91"/>
      <x:c r="AS28" s="89"/>
      <x:c r="AT28" s="92"/>
      <x:c r="AU28" s="27"/>
      <x:c r="AV28" s="27"/>
      <x:c r="AW28" s="27"/>
      <x:c r="AX28" s="93"/>
      <x:c r="AY28" s="27"/>
      <x:c r="AZ28" s="27"/>
      <x:c r="BA28" s="94"/>
      <x:c r="BB28" s="82"/>
      <x:c r="BC28" s="80"/>
      <x:c r="BD28" s="83"/>
    </x:row>
    <x:row r="29">
      <x:c r="A29" s="80"/>
      <x:c r="B29" s="80"/>
      <x:c r="C29" s="25"/>
      <x:c r="D29" s="25"/>
      <x:c r="E29" s="80"/>
      <x:c r="F29" s="24"/>
      <x:c r="G29" s="24"/>
      <x:c r="H29" s="25"/>
      <x:c r="I29" s="80"/>
      <x:c r="J29" s="25"/>
      <x:c r="K29" s="89"/>
      <x:c r="L29" s="83"/>
      <x:c r="M29" s="24"/>
      <x:c r="N29" s="90"/>
      <x:c r="O29" s="90"/>
      <x:c r="P29" s="91"/>
      <x:c r="Q29" s="89"/>
      <x:c r="R29" s="91"/>
      <x:c r="S29" s="24"/>
      <x:c r="T29" s="24"/>
      <x:c r="U29" s="24"/>
      <x:c r="V29" s="83"/>
      <x:c r="W29" s="89"/>
      <x:c r="X29" s="91"/>
      <x:c r="Y29" s="91"/>
      <x:c r="Z29" s="91"/>
      <x:c r="AA29" s="24"/>
      <x:c r="AB29" s="24"/>
      <x:c r="AC29" s="24"/>
      <x:c r="AD29" s="24"/>
      <x:c r="AE29" s="89"/>
      <x:c r="AF29" s="91"/>
      <x:c r="AG29" s="83"/>
      <x:c r="AH29" s="83"/>
      <x:c r="AI29" s="83"/>
      <x:c r="AJ29" s="83"/>
      <x:c r="AK29" s="89"/>
      <x:c r="AL29" s="89"/>
      <x:c r="AM29" s="89"/>
      <x:c r="AN29" s="24"/>
      <x:c r="AO29" s="91"/>
      <x:c r="AP29" s="24"/>
      <x:c r="AQ29" s="24"/>
      <x:c r="AR29" s="91"/>
      <x:c r="AS29" s="89"/>
      <x:c r="AT29" s="92"/>
      <x:c r="AU29" s="27"/>
      <x:c r="AV29" s="27"/>
      <x:c r="AW29" s="27"/>
      <x:c r="AX29" s="93"/>
      <x:c r="AY29" s="27"/>
      <x:c r="AZ29" s="27"/>
      <x:c r="BA29" s="94"/>
      <x:c r="BB29" s="82"/>
      <x:c r="BC29" s="80"/>
      <x:c r="BD29" s="83"/>
    </x:row>
    <x:row r="30">
      <x:c r="A30" s="80"/>
      <x:c r="B30" s="80"/>
      <x:c r="C30" s="25"/>
      <x:c r="D30" s="25"/>
      <x:c r="E30" s="80"/>
      <x:c r="F30" s="24"/>
      <x:c r="G30" s="24"/>
      <x:c r="H30" s="25"/>
      <x:c r="I30" s="80"/>
      <x:c r="J30" s="25"/>
      <x:c r="K30" s="89"/>
      <x:c r="L30" s="83"/>
      <x:c r="M30" s="24"/>
      <x:c r="N30" s="90"/>
      <x:c r="O30" s="90"/>
      <x:c r="P30" s="91"/>
      <x:c r="Q30" s="89"/>
      <x:c r="R30" s="91"/>
      <x:c r="S30" s="24"/>
      <x:c r="T30" s="24"/>
      <x:c r="U30" s="24"/>
      <x:c r="V30" s="83"/>
      <x:c r="W30" s="89"/>
      <x:c r="X30" s="91"/>
      <x:c r="Y30" s="91"/>
      <x:c r="Z30" s="91"/>
      <x:c r="AA30" s="24"/>
      <x:c r="AB30" s="24"/>
      <x:c r="AC30" s="24"/>
      <x:c r="AD30" s="24"/>
      <x:c r="AE30" s="89"/>
      <x:c r="AF30" s="91"/>
      <x:c r="AG30" s="83"/>
      <x:c r="AH30" s="83"/>
      <x:c r="AI30" s="83"/>
      <x:c r="AJ30" s="83"/>
      <x:c r="AK30" s="89"/>
      <x:c r="AL30" s="89"/>
      <x:c r="AM30" s="89"/>
      <x:c r="AN30" s="24"/>
      <x:c r="AO30" s="91"/>
      <x:c r="AP30" s="24"/>
      <x:c r="AQ30" s="24"/>
      <x:c r="AR30" s="91"/>
      <x:c r="AS30" s="89"/>
      <x:c r="AT30" s="92"/>
      <x:c r="AU30" s="27"/>
      <x:c r="AV30" s="27"/>
      <x:c r="AW30" s="27"/>
      <x:c r="AX30" s="93"/>
      <x:c r="AY30" s="27"/>
      <x:c r="AZ30" s="27"/>
      <x:c r="BA30" s="94"/>
      <x:c r="BB30" s="82"/>
      <x:c r="BC30" s="80"/>
      <x:c r="BD30" s="83"/>
    </x:row>
    <x:row r="31">
      <x:c r="A31" s="80"/>
      <x:c r="B31" s="80"/>
      <x:c r="C31" s="25"/>
      <x:c r="D31" s="25"/>
      <x:c r="E31" s="80"/>
      <x:c r="F31" s="24"/>
      <x:c r="G31" s="24"/>
      <x:c r="H31" s="25"/>
      <x:c r="I31" s="80"/>
      <x:c r="J31" s="25"/>
      <x:c r="K31" s="89"/>
      <x:c r="L31" s="83"/>
      <x:c r="M31" s="24"/>
      <x:c r="N31" s="90"/>
      <x:c r="O31" s="90"/>
      <x:c r="P31" s="91"/>
      <x:c r="Q31" s="89"/>
      <x:c r="R31" s="91"/>
      <x:c r="S31" s="24"/>
      <x:c r="T31" s="24"/>
      <x:c r="U31" s="24"/>
      <x:c r="V31" s="83"/>
      <x:c r="W31" s="89"/>
      <x:c r="X31" s="91"/>
      <x:c r="Y31" s="91"/>
      <x:c r="Z31" s="91"/>
      <x:c r="AA31" s="24"/>
      <x:c r="AB31" s="24"/>
      <x:c r="AC31" s="24"/>
      <x:c r="AD31" s="24"/>
      <x:c r="AE31" s="89"/>
      <x:c r="AF31" s="91"/>
      <x:c r="AG31" s="83"/>
      <x:c r="AH31" s="83"/>
      <x:c r="AI31" s="83"/>
      <x:c r="AJ31" s="83"/>
      <x:c r="AK31" s="89"/>
      <x:c r="AL31" s="89"/>
      <x:c r="AM31" s="89"/>
      <x:c r="AN31" s="24"/>
      <x:c r="AO31" s="91"/>
      <x:c r="AP31" s="24"/>
      <x:c r="AQ31" s="24"/>
      <x:c r="AR31" s="91"/>
      <x:c r="AS31" s="89"/>
      <x:c r="AT31" s="92"/>
      <x:c r="AU31" s="27"/>
      <x:c r="AV31" s="27"/>
      <x:c r="AW31" s="27"/>
      <x:c r="AX31" s="93"/>
      <x:c r="AY31" s="27"/>
      <x:c r="AZ31" s="27"/>
      <x:c r="BA31" s="94"/>
      <x:c r="BB31" s="82"/>
      <x:c r="BC31" s="80"/>
      <x:c r="BD31" s="83"/>
    </x:row>
    <x:row r="32">
      <x:c r="A32" s="80"/>
      <x:c r="B32" s="80"/>
      <x:c r="C32" s="25"/>
      <x:c r="D32" s="25"/>
      <x:c r="E32" s="80"/>
      <x:c r="F32" s="24"/>
      <x:c r="G32" s="24"/>
      <x:c r="H32" s="25"/>
      <x:c r="I32" s="80"/>
      <x:c r="J32" s="25"/>
      <x:c r="K32" s="89"/>
      <x:c r="L32" s="83"/>
      <x:c r="M32" s="24"/>
      <x:c r="N32" s="90"/>
      <x:c r="O32" s="90"/>
      <x:c r="P32" s="91"/>
      <x:c r="Q32" s="89"/>
      <x:c r="R32" s="91"/>
      <x:c r="S32" s="24"/>
      <x:c r="T32" s="24"/>
      <x:c r="U32" s="24"/>
      <x:c r="V32" s="83"/>
      <x:c r="W32" s="89"/>
      <x:c r="X32" s="91"/>
      <x:c r="Y32" s="91"/>
      <x:c r="Z32" s="91"/>
      <x:c r="AA32" s="24"/>
      <x:c r="AB32" s="24"/>
      <x:c r="AC32" s="24"/>
      <x:c r="AD32" s="24"/>
      <x:c r="AE32" s="89"/>
      <x:c r="AF32" s="91"/>
      <x:c r="AG32" s="83"/>
      <x:c r="AH32" s="83"/>
      <x:c r="AI32" s="83"/>
      <x:c r="AJ32" s="83"/>
      <x:c r="AK32" s="89"/>
      <x:c r="AL32" s="89"/>
      <x:c r="AM32" s="89"/>
      <x:c r="AN32" s="24"/>
      <x:c r="AO32" s="91"/>
      <x:c r="AP32" s="24"/>
      <x:c r="AQ32" s="24"/>
      <x:c r="AR32" s="91"/>
      <x:c r="AS32" s="89"/>
      <x:c r="AT32" s="92"/>
      <x:c r="AU32" s="27"/>
      <x:c r="AV32" s="27"/>
      <x:c r="AW32" s="27"/>
      <x:c r="AX32" s="93"/>
      <x:c r="AY32" s="27"/>
      <x:c r="AZ32" s="27"/>
      <x:c r="BA32" s="94"/>
      <x:c r="BB32" s="82"/>
      <x:c r="BC32" s="80"/>
      <x:c r="BD32" s="83"/>
    </x:row>
    <x:row r="33">
      <x:c r="A33" s="80"/>
      <x:c r="B33" s="80"/>
      <x:c r="C33" s="25"/>
      <x:c r="D33" s="25"/>
      <x:c r="E33" s="80"/>
      <x:c r="F33" s="24"/>
      <x:c r="G33" s="24"/>
      <x:c r="H33" s="25"/>
      <x:c r="I33" s="80"/>
      <x:c r="J33" s="25"/>
      <x:c r="K33" s="89"/>
      <x:c r="L33" s="83"/>
      <x:c r="M33" s="24"/>
      <x:c r="N33" s="90"/>
      <x:c r="O33" s="90"/>
      <x:c r="P33" s="91"/>
      <x:c r="Q33" s="89"/>
      <x:c r="R33" s="91"/>
      <x:c r="S33" s="24"/>
      <x:c r="T33" s="24"/>
      <x:c r="U33" s="24"/>
      <x:c r="V33" s="83"/>
      <x:c r="W33" s="89"/>
      <x:c r="X33" s="91"/>
      <x:c r="Y33" s="91"/>
      <x:c r="Z33" s="91"/>
      <x:c r="AA33" s="24"/>
      <x:c r="AB33" s="24"/>
      <x:c r="AC33" s="24"/>
      <x:c r="AD33" s="24"/>
      <x:c r="AE33" s="89"/>
      <x:c r="AF33" s="91"/>
      <x:c r="AG33" s="83"/>
      <x:c r="AH33" s="83"/>
      <x:c r="AI33" s="83"/>
      <x:c r="AJ33" s="83"/>
      <x:c r="AK33" s="89"/>
      <x:c r="AL33" s="89"/>
      <x:c r="AM33" s="89"/>
      <x:c r="AN33" s="24"/>
      <x:c r="AO33" s="91"/>
      <x:c r="AP33" s="24"/>
      <x:c r="AQ33" s="24"/>
      <x:c r="AR33" s="91"/>
      <x:c r="AS33" s="89"/>
      <x:c r="AT33" s="92"/>
      <x:c r="AU33" s="27"/>
      <x:c r="AV33" s="27"/>
      <x:c r="AW33" s="27"/>
      <x:c r="AX33" s="93"/>
      <x:c r="AY33" s="27"/>
      <x:c r="AZ33" s="27"/>
      <x:c r="BA33" s="94"/>
      <x:c r="BB33" s="82"/>
      <x:c r="BC33" s="80"/>
      <x:c r="BD33" s="83"/>
    </x:row>
    <x:row r="34">
      <x:c r="A34" s="80"/>
      <x:c r="B34" s="80"/>
      <x:c r="C34" s="25"/>
      <x:c r="D34" s="25"/>
      <x:c r="E34" s="80"/>
      <x:c r="F34" s="24"/>
      <x:c r="G34" s="24"/>
      <x:c r="H34" s="25"/>
      <x:c r="I34" s="80"/>
      <x:c r="J34" s="25"/>
      <x:c r="K34" s="89"/>
      <x:c r="L34" s="83"/>
      <x:c r="M34" s="24"/>
      <x:c r="N34" s="90"/>
      <x:c r="O34" s="90"/>
      <x:c r="P34" s="91"/>
      <x:c r="Q34" s="89"/>
      <x:c r="R34" s="91"/>
      <x:c r="S34" s="24"/>
      <x:c r="T34" s="24"/>
      <x:c r="U34" s="24"/>
      <x:c r="V34" s="83"/>
      <x:c r="W34" s="89"/>
      <x:c r="X34" s="91"/>
      <x:c r="Y34" s="91"/>
      <x:c r="Z34" s="91"/>
      <x:c r="AA34" s="24"/>
      <x:c r="AB34" s="24"/>
      <x:c r="AC34" s="24"/>
      <x:c r="AD34" s="24"/>
      <x:c r="AE34" s="89"/>
      <x:c r="AF34" s="91"/>
      <x:c r="AG34" s="83"/>
      <x:c r="AH34" s="83"/>
      <x:c r="AI34" s="83"/>
      <x:c r="AJ34" s="83"/>
      <x:c r="AK34" s="89"/>
      <x:c r="AL34" s="89"/>
      <x:c r="AM34" s="89"/>
      <x:c r="AN34" s="24"/>
      <x:c r="AO34" s="91"/>
      <x:c r="AP34" s="24"/>
      <x:c r="AQ34" s="24"/>
      <x:c r="AR34" s="91"/>
      <x:c r="AS34" s="89"/>
      <x:c r="AT34" s="92"/>
      <x:c r="AU34" s="27"/>
      <x:c r="AV34" s="27"/>
      <x:c r="AW34" s="27"/>
      <x:c r="AX34" s="93"/>
      <x:c r="AY34" s="27"/>
      <x:c r="AZ34" s="27"/>
      <x:c r="BA34" s="94"/>
      <x:c r="BB34" s="82"/>
      <x:c r="BC34" s="80"/>
      <x:c r="BD34" s="83"/>
    </x:row>
    <x:row r="35">
      <x:c r="A35" s="80"/>
      <x:c r="B35" s="80"/>
      <x:c r="C35" s="25"/>
      <x:c r="D35" s="25"/>
      <x:c r="E35" s="80"/>
      <x:c r="F35" s="24"/>
      <x:c r="G35" s="24"/>
      <x:c r="H35" s="25"/>
      <x:c r="I35" s="80"/>
      <x:c r="J35" s="25"/>
      <x:c r="K35" s="89"/>
      <x:c r="L35" s="83"/>
      <x:c r="M35" s="24"/>
      <x:c r="N35" s="90"/>
      <x:c r="O35" s="90"/>
      <x:c r="P35" s="91"/>
      <x:c r="Q35" s="89"/>
      <x:c r="R35" s="91"/>
      <x:c r="S35" s="24"/>
      <x:c r="T35" s="24"/>
      <x:c r="U35" s="24"/>
      <x:c r="V35" s="83"/>
      <x:c r="W35" s="89"/>
      <x:c r="X35" s="91"/>
      <x:c r="Y35" s="91"/>
      <x:c r="Z35" s="91"/>
      <x:c r="AA35" s="24"/>
      <x:c r="AB35" s="24"/>
      <x:c r="AC35" s="24"/>
      <x:c r="AD35" s="24"/>
      <x:c r="AE35" s="89"/>
      <x:c r="AF35" s="91"/>
      <x:c r="AG35" s="83"/>
      <x:c r="AH35" s="83"/>
      <x:c r="AI35" s="83"/>
      <x:c r="AJ35" s="83"/>
      <x:c r="AK35" s="89"/>
      <x:c r="AL35" s="89"/>
      <x:c r="AM35" s="89"/>
      <x:c r="AN35" s="24"/>
      <x:c r="AO35" s="91"/>
      <x:c r="AP35" s="24"/>
      <x:c r="AQ35" s="24"/>
      <x:c r="AR35" s="91"/>
      <x:c r="AS35" s="89"/>
      <x:c r="AT35" s="92"/>
      <x:c r="AU35" s="27"/>
      <x:c r="AV35" s="27"/>
      <x:c r="AW35" s="27"/>
      <x:c r="AX35" s="93"/>
      <x:c r="AY35" s="27"/>
      <x:c r="AZ35" s="27"/>
      <x:c r="BA35" s="94"/>
      <x:c r="BB35" s="82"/>
      <x:c r="BC35" s="80"/>
      <x:c r="BD35" s="83"/>
    </x:row>
    <x:row r="36">
      <x:c r="A36" s="80"/>
      <x:c r="B36" s="80"/>
      <x:c r="C36" s="25"/>
      <x:c r="D36" s="25"/>
      <x:c r="E36" s="80"/>
      <x:c r="F36" s="24"/>
      <x:c r="G36" s="24"/>
      <x:c r="H36" s="25"/>
      <x:c r="I36" s="80"/>
      <x:c r="J36" s="25"/>
      <x:c r="K36" s="89"/>
      <x:c r="L36" s="83"/>
      <x:c r="M36" s="24"/>
      <x:c r="N36" s="90"/>
      <x:c r="O36" s="90"/>
      <x:c r="P36" s="91"/>
      <x:c r="Q36" s="89"/>
      <x:c r="R36" s="91"/>
      <x:c r="S36" s="24"/>
      <x:c r="T36" s="24"/>
      <x:c r="U36" s="24"/>
      <x:c r="V36" s="83"/>
      <x:c r="W36" s="89"/>
      <x:c r="X36" s="91"/>
      <x:c r="Y36" s="91"/>
      <x:c r="Z36" s="91"/>
      <x:c r="AA36" s="24"/>
      <x:c r="AB36" s="24"/>
      <x:c r="AC36" s="24"/>
      <x:c r="AD36" s="24"/>
      <x:c r="AE36" s="89"/>
      <x:c r="AF36" s="91"/>
      <x:c r="AG36" s="83"/>
      <x:c r="AH36" s="83"/>
      <x:c r="AI36" s="83"/>
      <x:c r="AJ36" s="83"/>
      <x:c r="AK36" s="89"/>
      <x:c r="AL36" s="89"/>
      <x:c r="AM36" s="89"/>
      <x:c r="AN36" s="24"/>
      <x:c r="AO36" s="91"/>
      <x:c r="AP36" s="24"/>
      <x:c r="AQ36" s="24"/>
      <x:c r="AR36" s="91"/>
      <x:c r="AS36" s="89"/>
      <x:c r="AT36" s="92"/>
      <x:c r="AU36" s="27"/>
      <x:c r="AV36" s="27"/>
      <x:c r="AW36" s="27"/>
      <x:c r="AX36" s="93"/>
      <x:c r="AY36" s="27"/>
      <x:c r="AZ36" s="27"/>
      <x:c r="BA36" s="94"/>
      <x:c r="BB36" s="82"/>
      <x:c r="BC36" s="80"/>
      <x:c r="BD36" s="83"/>
    </x:row>
    <x:row r="37">
      <x:c r="A37" s="80"/>
      <x:c r="B37" s="80"/>
      <x:c r="C37" s="25"/>
      <x:c r="D37" s="25"/>
      <x:c r="E37" s="80"/>
      <x:c r="F37" s="24"/>
      <x:c r="G37" s="24"/>
      <x:c r="H37" s="25"/>
      <x:c r="I37" s="80"/>
      <x:c r="J37" s="25"/>
      <x:c r="K37" s="89"/>
      <x:c r="L37" s="83"/>
      <x:c r="M37" s="24"/>
      <x:c r="N37" s="90"/>
      <x:c r="O37" s="90"/>
      <x:c r="P37" s="91"/>
      <x:c r="Q37" s="89"/>
      <x:c r="R37" s="91"/>
      <x:c r="S37" s="24"/>
      <x:c r="T37" s="24"/>
      <x:c r="U37" s="24"/>
      <x:c r="V37" s="83"/>
      <x:c r="W37" s="89"/>
      <x:c r="X37" s="91"/>
      <x:c r="Y37" s="91"/>
      <x:c r="Z37" s="91"/>
      <x:c r="AA37" s="24"/>
      <x:c r="AB37" s="24"/>
      <x:c r="AC37" s="24"/>
      <x:c r="AD37" s="24"/>
      <x:c r="AE37" s="89"/>
      <x:c r="AF37" s="91"/>
      <x:c r="AG37" s="83"/>
      <x:c r="AH37" s="83"/>
      <x:c r="AI37" s="83"/>
      <x:c r="AJ37" s="83"/>
      <x:c r="AK37" s="89"/>
      <x:c r="AL37" s="89"/>
      <x:c r="AM37" s="89"/>
      <x:c r="AN37" s="24"/>
      <x:c r="AO37" s="91"/>
      <x:c r="AP37" s="24"/>
      <x:c r="AQ37" s="24"/>
      <x:c r="AR37" s="91"/>
      <x:c r="AS37" s="89"/>
      <x:c r="AT37" s="92"/>
      <x:c r="AU37" s="27"/>
      <x:c r="AV37" s="27"/>
      <x:c r="AW37" s="27"/>
      <x:c r="AX37" s="93"/>
      <x:c r="AY37" s="27"/>
      <x:c r="AZ37" s="27"/>
      <x:c r="BA37" s="94"/>
      <x:c r="BB37" s="82"/>
      <x:c r="BC37" s="80"/>
      <x:c r="BD37" s="83"/>
    </x:row>
    <x:row r="38">
      <x:c r="A38" s="80"/>
      <x:c r="B38" s="80"/>
      <x:c r="C38" s="25"/>
      <x:c r="D38" s="25"/>
      <x:c r="E38" s="80"/>
      <x:c r="F38" s="24"/>
      <x:c r="G38" s="24"/>
      <x:c r="H38" s="25"/>
      <x:c r="I38" s="80"/>
      <x:c r="J38" s="25"/>
      <x:c r="K38" s="89"/>
      <x:c r="L38" s="83"/>
      <x:c r="M38" s="24"/>
      <x:c r="N38" s="90"/>
      <x:c r="O38" s="90"/>
      <x:c r="P38" s="91"/>
      <x:c r="Q38" s="89"/>
      <x:c r="R38" s="91"/>
      <x:c r="S38" s="24"/>
      <x:c r="T38" s="24"/>
      <x:c r="U38" s="24"/>
      <x:c r="V38" s="83"/>
      <x:c r="W38" s="89"/>
      <x:c r="X38" s="91"/>
      <x:c r="Y38" s="91"/>
      <x:c r="Z38" s="91"/>
      <x:c r="AA38" s="24"/>
      <x:c r="AB38" s="24"/>
      <x:c r="AC38" s="24"/>
      <x:c r="AD38" s="24"/>
      <x:c r="AE38" s="89"/>
      <x:c r="AF38" s="91"/>
      <x:c r="AG38" s="83"/>
      <x:c r="AH38" s="83"/>
      <x:c r="AI38" s="83"/>
      <x:c r="AJ38" s="83"/>
      <x:c r="AK38" s="89"/>
      <x:c r="AL38" s="89"/>
      <x:c r="AM38" s="89"/>
      <x:c r="AN38" s="24"/>
      <x:c r="AO38" s="91"/>
      <x:c r="AP38" s="24"/>
      <x:c r="AQ38" s="24"/>
      <x:c r="AR38" s="91"/>
      <x:c r="AS38" s="89"/>
      <x:c r="AT38" s="92"/>
      <x:c r="AU38" s="27"/>
      <x:c r="AV38" s="27"/>
      <x:c r="AW38" s="27"/>
      <x:c r="AX38" s="93"/>
      <x:c r="AY38" s="27"/>
      <x:c r="AZ38" s="27"/>
      <x:c r="BA38" s="94"/>
      <x:c r="BB38" s="82"/>
      <x:c r="BC38" s="80"/>
      <x:c r="BD38" s="83"/>
    </x:row>
    <x:row r="39">
      <x:c r="A39" s="80"/>
      <x:c r="B39" s="80"/>
      <x:c r="C39" s="25"/>
      <x:c r="D39" s="25"/>
      <x:c r="E39" s="80"/>
      <x:c r="F39" s="24"/>
      <x:c r="G39" s="24"/>
      <x:c r="H39" s="25"/>
      <x:c r="I39" s="80"/>
      <x:c r="J39" s="25"/>
      <x:c r="K39" s="89"/>
      <x:c r="L39" s="83"/>
      <x:c r="M39" s="24"/>
      <x:c r="N39" s="90"/>
      <x:c r="O39" s="90"/>
      <x:c r="P39" s="91"/>
      <x:c r="Q39" s="89"/>
      <x:c r="R39" s="91"/>
      <x:c r="S39" s="24"/>
      <x:c r="T39" s="24"/>
      <x:c r="U39" s="24"/>
      <x:c r="V39" s="83"/>
      <x:c r="W39" s="89"/>
      <x:c r="X39" s="91"/>
      <x:c r="Y39" s="91"/>
      <x:c r="Z39" s="91"/>
      <x:c r="AA39" s="24"/>
      <x:c r="AB39" s="24"/>
      <x:c r="AC39" s="24"/>
      <x:c r="AD39" s="24"/>
      <x:c r="AE39" s="89"/>
      <x:c r="AF39" s="91"/>
      <x:c r="AG39" s="83"/>
      <x:c r="AH39" s="83"/>
      <x:c r="AI39" s="83"/>
      <x:c r="AJ39" s="83"/>
      <x:c r="AK39" s="89"/>
      <x:c r="AL39" s="89"/>
      <x:c r="AM39" s="89"/>
      <x:c r="AN39" s="24"/>
      <x:c r="AO39" s="91"/>
      <x:c r="AP39" s="24"/>
      <x:c r="AQ39" s="24"/>
      <x:c r="AR39" s="91"/>
      <x:c r="AS39" s="89"/>
      <x:c r="AT39" s="92"/>
      <x:c r="AU39" s="27"/>
      <x:c r="AV39" s="27"/>
      <x:c r="AW39" s="27"/>
      <x:c r="AX39" s="93"/>
      <x:c r="AY39" s="27"/>
      <x:c r="AZ39" s="27"/>
      <x:c r="BA39" s="94"/>
      <x:c r="BB39" s="82"/>
      <x:c r="BC39" s="80"/>
      <x:c r="BD39" s="83"/>
    </x:row>
    <x:row r="40">
      <x:c r="A40" s="80"/>
      <x:c r="B40" s="80"/>
      <x:c r="C40" s="25"/>
      <x:c r="D40" s="25"/>
      <x:c r="E40" s="80"/>
      <x:c r="F40" s="24"/>
      <x:c r="G40" s="24"/>
      <x:c r="H40" s="25"/>
      <x:c r="I40" s="80"/>
      <x:c r="J40" s="25"/>
      <x:c r="K40" s="89"/>
      <x:c r="L40" s="83"/>
      <x:c r="M40" s="24"/>
      <x:c r="N40" s="90"/>
      <x:c r="O40" s="90"/>
      <x:c r="P40" s="91"/>
      <x:c r="Q40" s="89"/>
      <x:c r="R40" s="91"/>
      <x:c r="S40" s="24"/>
      <x:c r="T40" s="24"/>
      <x:c r="U40" s="24"/>
      <x:c r="V40" s="83"/>
      <x:c r="W40" s="89"/>
      <x:c r="X40" s="91"/>
      <x:c r="Y40" s="91"/>
      <x:c r="Z40" s="91"/>
      <x:c r="AA40" s="24"/>
      <x:c r="AB40" s="24"/>
      <x:c r="AC40" s="24"/>
      <x:c r="AD40" s="24"/>
      <x:c r="AE40" s="89"/>
      <x:c r="AF40" s="91"/>
      <x:c r="AG40" s="83"/>
      <x:c r="AH40" s="83"/>
      <x:c r="AI40" s="83"/>
      <x:c r="AJ40" s="83"/>
      <x:c r="AK40" s="89"/>
      <x:c r="AL40" s="89"/>
      <x:c r="AM40" s="89"/>
      <x:c r="AN40" s="24"/>
      <x:c r="AO40" s="91"/>
      <x:c r="AP40" s="24"/>
      <x:c r="AQ40" s="24"/>
      <x:c r="AR40" s="91"/>
      <x:c r="AS40" s="89"/>
      <x:c r="AT40" s="92"/>
      <x:c r="AU40" s="27"/>
      <x:c r="AV40" s="27"/>
      <x:c r="AW40" s="27"/>
      <x:c r="AX40" s="93"/>
      <x:c r="AY40" s="27"/>
      <x:c r="AZ40" s="27"/>
      <x:c r="BA40" s="94"/>
      <x:c r="BB40" s="82"/>
      <x:c r="BC40" s="80"/>
      <x:c r="BD40" s="83"/>
    </x:row>
    <x:row r="41">
      <x:c r="A41" s="80"/>
      <x:c r="B41" s="80"/>
      <x:c r="C41" s="25"/>
      <x:c r="D41" s="25"/>
      <x:c r="E41" s="80"/>
      <x:c r="F41" s="24"/>
      <x:c r="G41" s="24"/>
      <x:c r="H41" s="25"/>
      <x:c r="I41" s="80"/>
      <x:c r="J41" s="25"/>
      <x:c r="K41" s="89"/>
      <x:c r="L41" s="83"/>
      <x:c r="M41" s="24"/>
      <x:c r="N41" s="90"/>
      <x:c r="O41" s="90"/>
      <x:c r="P41" s="91"/>
      <x:c r="Q41" s="89"/>
      <x:c r="R41" s="91"/>
      <x:c r="S41" s="24"/>
      <x:c r="T41" s="24"/>
      <x:c r="U41" s="24"/>
      <x:c r="V41" s="83"/>
      <x:c r="W41" s="89"/>
      <x:c r="X41" s="91"/>
      <x:c r="Y41" s="91"/>
      <x:c r="Z41" s="91"/>
      <x:c r="AA41" s="24"/>
      <x:c r="AB41" s="24"/>
      <x:c r="AC41" s="24"/>
      <x:c r="AD41" s="24"/>
      <x:c r="AE41" s="89"/>
      <x:c r="AF41" s="91"/>
      <x:c r="AG41" s="83"/>
      <x:c r="AH41" s="83"/>
      <x:c r="AI41" s="83"/>
      <x:c r="AJ41" s="83"/>
      <x:c r="AK41" s="89"/>
      <x:c r="AL41" s="89"/>
      <x:c r="AM41" s="89"/>
      <x:c r="AN41" s="24"/>
      <x:c r="AO41" s="91"/>
      <x:c r="AP41" s="24"/>
      <x:c r="AQ41" s="24"/>
      <x:c r="AR41" s="91"/>
      <x:c r="AS41" s="89"/>
      <x:c r="AT41" s="92"/>
      <x:c r="AU41" s="27"/>
      <x:c r="AV41" s="27"/>
      <x:c r="AW41" s="27"/>
      <x:c r="AX41" s="93"/>
      <x:c r="AY41" s="27"/>
      <x:c r="AZ41" s="27"/>
      <x:c r="BA41" s="94"/>
      <x:c r="BB41" s="82"/>
      <x:c r="BC41" s="80"/>
      <x:c r="BD41" s="83"/>
    </x:row>
    <x:row r="42">
      <x:c r="A42" s="80"/>
      <x:c r="B42" s="80"/>
      <x:c r="C42" s="25"/>
      <x:c r="D42" s="25"/>
      <x:c r="E42" s="80"/>
      <x:c r="F42" s="24"/>
      <x:c r="G42" s="24"/>
      <x:c r="H42" s="25"/>
      <x:c r="I42" s="80"/>
      <x:c r="J42" s="25"/>
      <x:c r="K42" s="89"/>
      <x:c r="L42" s="83"/>
      <x:c r="M42" s="24"/>
      <x:c r="N42" s="90"/>
      <x:c r="O42" s="90"/>
      <x:c r="P42" s="91"/>
      <x:c r="Q42" s="89"/>
      <x:c r="R42" s="91"/>
      <x:c r="S42" s="24"/>
      <x:c r="T42" s="24"/>
      <x:c r="U42" s="24"/>
      <x:c r="V42" s="83"/>
      <x:c r="W42" s="89"/>
      <x:c r="X42" s="91"/>
      <x:c r="Y42" s="91"/>
      <x:c r="Z42" s="91"/>
      <x:c r="AA42" s="24"/>
      <x:c r="AB42" s="24"/>
      <x:c r="AC42" s="24"/>
      <x:c r="AD42" s="24"/>
      <x:c r="AE42" s="89"/>
      <x:c r="AF42" s="91"/>
      <x:c r="AG42" s="83"/>
      <x:c r="AH42" s="83"/>
      <x:c r="AI42" s="83"/>
      <x:c r="AJ42" s="83"/>
      <x:c r="AK42" s="89"/>
      <x:c r="AL42" s="89"/>
      <x:c r="AM42" s="89"/>
      <x:c r="AN42" s="24"/>
      <x:c r="AO42" s="91"/>
      <x:c r="AP42" s="24"/>
      <x:c r="AQ42" s="24"/>
      <x:c r="AR42" s="91"/>
      <x:c r="AS42" s="89"/>
      <x:c r="AT42" s="92"/>
      <x:c r="AU42" s="27"/>
      <x:c r="AV42" s="27"/>
      <x:c r="AW42" s="27"/>
      <x:c r="AX42" s="93"/>
      <x:c r="AY42" s="27"/>
      <x:c r="AZ42" s="27"/>
      <x:c r="BA42" s="94"/>
      <x:c r="BB42" s="82"/>
      <x:c r="BC42" s="80"/>
      <x:c r="BD42" s="83"/>
    </x:row>
    <x:row r="43">
      <x:c r="A43" s="80"/>
      <x:c r="B43" s="80"/>
      <x:c r="C43" s="25"/>
      <x:c r="D43" s="25"/>
      <x:c r="E43" s="80"/>
      <x:c r="F43" s="24"/>
      <x:c r="G43" s="24"/>
      <x:c r="H43" s="25"/>
      <x:c r="I43" s="80"/>
      <x:c r="J43" s="25"/>
      <x:c r="K43" s="89"/>
      <x:c r="L43" s="83"/>
      <x:c r="M43" s="24"/>
      <x:c r="N43" s="90"/>
      <x:c r="O43" s="90"/>
      <x:c r="P43" s="91"/>
      <x:c r="Q43" s="89"/>
      <x:c r="R43" s="91"/>
      <x:c r="S43" s="24"/>
      <x:c r="T43" s="24"/>
      <x:c r="U43" s="24"/>
      <x:c r="V43" s="83"/>
      <x:c r="W43" s="89"/>
      <x:c r="X43" s="91"/>
      <x:c r="Y43" s="91"/>
      <x:c r="Z43" s="91"/>
      <x:c r="AA43" s="24"/>
      <x:c r="AB43" s="24"/>
      <x:c r="AC43" s="24"/>
      <x:c r="AD43" s="24"/>
      <x:c r="AE43" s="89"/>
      <x:c r="AF43" s="91"/>
      <x:c r="AG43" s="83"/>
      <x:c r="AH43" s="83"/>
      <x:c r="AI43" s="83"/>
      <x:c r="AJ43" s="83"/>
      <x:c r="AK43" s="89"/>
      <x:c r="AL43" s="89"/>
      <x:c r="AM43" s="89"/>
      <x:c r="AN43" s="24"/>
      <x:c r="AO43" s="91"/>
      <x:c r="AP43" s="24"/>
      <x:c r="AQ43" s="24"/>
      <x:c r="AR43" s="91"/>
      <x:c r="AS43" s="89"/>
      <x:c r="AT43" s="92"/>
      <x:c r="AU43" s="27"/>
      <x:c r="AV43" s="27"/>
      <x:c r="AW43" s="27"/>
      <x:c r="AX43" s="93"/>
      <x:c r="AY43" s="27"/>
      <x:c r="AZ43" s="27"/>
      <x:c r="BA43" s="94"/>
      <x:c r="BB43" s="82"/>
      <x:c r="BC43" s="80"/>
      <x:c r="BD43" s="83"/>
    </x:row>
    <x:row r="44">
      <x:c r="A44" s="80"/>
      <x:c r="B44" s="80"/>
      <x:c r="C44" s="25"/>
      <x:c r="D44" s="25"/>
      <x:c r="E44" s="80"/>
      <x:c r="F44" s="24"/>
      <x:c r="G44" s="24"/>
      <x:c r="H44" s="25"/>
      <x:c r="I44" s="80"/>
      <x:c r="J44" s="25"/>
      <x:c r="K44" s="89"/>
      <x:c r="L44" s="83"/>
      <x:c r="M44" s="24"/>
      <x:c r="N44" s="90"/>
      <x:c r="O44" s="90"/>
      <x:c r="P44" s="91"/>
      <x:c r="Q44" s="89"/>
      <x:c r="R44" s="91"/>
      <x:c r="S44" s="24"/>
      <x:c r="T44" s="24"/>
      <x:c r="U44" s="24"/>
      <x:c r="V44" s="83"/>
      <x:c r="W44" s="89"/>
      <x:c r="X44" s="91"/>
      <x:c r="Y44" s="91"/>
      <x:c r="Z44" s="91"/>
      <x:c r="AA44" s="24"/>
      <x:c r="AB44" s="24"/>
      <x:c r="AC44" s="24"/>
      <x:c r="AD44" s="24"/>
      <x:c r="AE44" s="89"/>
      <x:c r="AF44" s="91"/>
      <x:c r="AG44" s="83"/>
      <x:c r="AH44" s="83"/>
      <x:c r="AI44" s="83"/>
      <x:c r="AJ44" s="83"/>
      <x:c r="AK44" s="89"/>
      <x:c r="AL44" s="89"/>
      <x:c r="AM44" s="89"/>
      <x:c r="AN44" s="24"/>
      <x:c r="AO44" s="91"/>
      <x:c r="AP44" s="24"/>
      <x:c r="AQ44" s="24"/>
      <x:c r="AR44" s="91"/>
      <x:c r="AS44" s="89"/>
      <x:c r="AT44" s="92"/>
      <x:c r="AU44" s="27"/>
      <x:c r="AV44" s="27"/>
      <x:c r="AW44" s="27"/>
      <x:c r="AX44" s="93"/>
      <x:c r="AY44" s="27"/>
      <x:c r="AZ44" s="27"/>
      <x:c r="BA44" s="94"/>
      <x:c r="BB44" s="82"/>
      <x:c r="BC44" s="80"/>
      <x:c r="BD44" s="83"/>
    </x:row>
    <x:row r="45">
      <x:c r="A45" s="80"/>
      <x:c r="B45" s="80"/>
      <x:c r="C45" s="25"/>
      <x:c r="D45" s="25"/>
      <x:c r="E45" s="80"/>
      <x:c r="F45" s="24"/>
      <x:c r="G45" s="24"/>
      <x:c r="H45" s="25"/>
      <x:c r="I45" s="80"/>
      <x:c r="J45" s="25"/>
      <x:c r="K45" s="89"/>
      <x:c r="L45" s="83"/>
      <x:c r="M45" s="24"/>
      <x:c r="N45" s="90"/>
      <x:c r="O45" s="90"/>
      <x:c r="P45" s="91"/>
      <x:c r="Q45" s="89"/>
      <x:c r="R45" s="91"/>
      <x:c r="S45" s="24"/>
      <x:c r="T45" s="24"/>
      <x:c r="U45" s="24"/>
      <x:c r="V45" s="83"/>
      <x:c r="W45" s="89"/>
      <x:c r="X45" s="91"/>
      <x:c r="Y45" s="91"/>
      <x:c r="Z45" s="91"/>
      <x:c r="AA45" s="24"/>
      <x:c r="AB45" s="24"/>
      <x:c r="AC45" s="24"/>
      <x:c r="AD45" s="24"/>
      <x:c r="AE45" s="89"/>
      <x:c r="AF45" s="91"/>
      <x:c r="AG45" s="83"/>
      <x:c r="AH45" s="83"/>
      <x:c r="AI45" s="83"/>
      <x:c r="AJ45" s="83"/>
      <x:c r="AK45" s="89"/>
      <x:c r="AL45" s="89"/>
      <x:c r="AM45" s="89"/>
      <x:c r="AN45" s="24"/>
      <x:c r="AO45" s="91"/>
      <x:c r="AP45" s="24"/>
      <x:c r="AQ45" s="24"/>
      <x:c r="AR45" s="91"/>
      <x:c r="AS45" s="89"/>
      <x:c r="AT45" s="92"/>
      <x:c r="AU45" s="27"/>
      <x:c r="AV45" s="27"/>
      <x:c r="AW45" s="27"/>
      <x:c r="AX45" s="93"/>
      <x:c r="AY45" s="27"/>
      <x:c r="AZ45" s="27"/>
      <x:c r="BA45" s="94"/>
      <x:c r="BB45" s="82"/>
      <x:c r="BC45" s="80"/>
      <x:c r="BD45" s="83"/>
    </x:row>
    <x:row r="46">
      <x:c r="A46" s="80"/>
      <x:c r="B46" s="80"/>
      <x:c r="C46" s="25"/>
      <x:c r="D46" s="25"/>
      <x:c r="E46" s="80"/>
      <x:c r="F46" s="24"/>
      <x:c r="G46" s="24"/>
      <x:c r="H46" s="25"/>
      <x:c r="I46" s="80"/>
      <x:c r="J46" s="25"/>
      <x:c r="K46" s="89"/>
      <x:c r="L46" s="83"/>
      <x:c r="M46" s="24"/>
      <x:c r="N46" s="90"/>
      <x:c r="O46" s="90"/>
      <x:c r="P46" s="91"/>
      <x:c r="Q46" s="89"/>
      <x:c r="R46" s="91"/>
      <x:c r="S46" s="24"/>
      <x:c r="T46" s="24"/>
      <x:c r="U46" s="24"/>
      <x:c r="V46" s="83"/>
      <x:c r="W46" s="89"/>
      <x:c r="X46" s="91"/>
      <x:c r="Y46" s="91"/>
      <x:c r="Z46" s="91"/>
      <x:c r="AA46" s="24"/>
      <x:c r="AB46" s="24"/>
      <x:c r="AC46" s="24"/>
      <x:c r="AD46" s="24"/>
      <x:c r="AE46" s="89"/>
      <x:c r="AF46" s="91"/>
      <x:c r="AG46" s="83"/>
      <x:c r="AH46" s="83"/>
      <x:c r="AI46" s="83"/>
      <x:c r="AJ46" s="83"/>
      <x:c r="AK46" s="89"/>
      <x:c r="AL46" s="89"/>
      <x:c r="AM46" s="89"/>
      <x:c r="AN46" s="24"/>
      <x:c r="AO46" s="91"/>
      <x:c r="AP46" s="24"/>
      <x:c r="AQ46" s="24"/>
      <x:c r="AR46" s="91"/>
      <x:c r="AS46" s="89"/>
      <x:c r="AT46" s="92"/>
      <x:c r="AU46" s="27"/>
      <x:c r="AV46" s="27"/>
      <x:c r="AW46" s="27"/>
      <x:c r="AX46" s="93"/>
      <x:c r="AY46" s="27"/>
      <x:c r="AZ46" s="27"/>
      <x:c r="BA46" s="94"/>
      <x:c r="BB46" s="82"/>
      <x:c r="BC46" s="80"/>
      <x:c r="BD46" s="83"/>
    </x:row>
    <x:row r="47">
      <x:c r="A47" s="80"/>
      <x:c r="B47" s="80"/>
      <x:c r="C47" s="25"/>
      <x:c r="D47" s="25"/>
      <x:c r="E47" s="80"/>
      <x:c r="F47" s="24"/>
      <x:c r="G47" s="24"/>
      <x:c r="H47" s="25"/>
      <x:c r="I47" s="80"/>
      <x:c r="J47" s="25"/>
      <x:c r="K47" s="89"/>
      <x:c r="L47" s="83"/>
      <x:c r="M47" s="24"/>
      <x:c r="N47" s="90"/>
      <x:c r="O47" s="90"/>
      <x:c r="P47" s="91"/>
      <x:c r="Q47" s="89"/>
      <x:c r="R47" s="91"/>
      <x:c r="S47" s="24"/>
      <x:c r="T47" s="24"/>
      <x:c r="U47" s="24"/>
      <x:c r="V47" s="83"/>
      <x:c r="W47" s="89"/>
      <x:c r="X47" s="91"/>
      <x:c r="Y47" s="91"/>
      <x:c r="Z47" s="91"/>
      <x:c r="AA47" s="24"/>
      <x:c r="AB47" s="24"/>
      <x:c r="AC47" s="24"/>
      <x:c r="AD47" s="24"/>
      <x:c r="AE47" s="89"/>
      <x:c r="AF47" s="91"/>
      <x:c r="AG47" s="83"/>
      <x:c r="AH47" s="83"/>
      <x:c r="AI47" s="83"/>
      <x:c r="AJ47" s="83"/>
      <x:c r="AK47" s="89"/>
      <x:c r="AL47" s="89"/>
      <x:c r="AM47" s="89"/>
      <x:c r="AN47" s="24"/>
      <x:c r="AO47" s="91"/>
      <x:c r="AP47" s="24"/>
      <x:c r="AQ47" s="24"/>
      <x:c r="AR47" s="91"/>
      <x:c r="AS47" s="89"/>
      <x:c r="AT47" s="92"/>
      <x:c r="AU47" s="27"/>
      <x:c r="AV47" s="27"/>
      <x:c r="AW47" s="27"/>
      <x:c r="AX47" s="93"/>
      <x:c r="AY47" s="27"/>
      <x:c r="AZ47" s="27"/>
      <x:c r="BA47" s="94"/>
      <x:c r="BB47" s="82"/>
      <x:c r="BC47" s="80"/>
      <x:c r="BD47" s="83"/>
    </x:row>
    <x:row r="48">
      <x:c r="A48" s="80"/>
      <x:c r="B48" s="80"/>
      <x:c r="C48" s="25"/>
      <x:c r="D48" s="25"/>
      <x:c r="E48" s="80"/>
      <x:c r="F48" s="24"/>
      <x:c r="G48" s="24"/>
      <x:c r="H48" s="25"/>
      <x:c r="I48" s="80"/>
      <x:c r="J48" s="25"/>
      <x:c r="K48" s="89"/>
      <x:c r="L48" s="83"/>
      <x:c r="M48" s="24"/>
      <x:c r="N48" s="90"/>
      <x:c r="O48" s="90"/>
      <x:c r="P48" s="91"/>
      <x:c r="Q48" s="89"/>
      <x:c r="R48" s="91"/>
      <x:c r="S48" s="24"/>
      <x:c r="T48" s="24"/>
      <x:c r="U48" s="24"/>
      <x:c r="V48" s="83"/>
      <x:c r="W48" s="89"/>
      <x:c r="X48" s="91"/>
      <x:c r="Y48" s="91"/>
      <x:c r="Z48" s="91"/>
      <x:c r="AA48" s="24"/>
      <x:c r="AB48" s="24"/>
      <x:c r="AC48" s="24"/>
      <x:c r="AD48" s="24"/>
      <x:c r="AE48" s="89"/>
      <x:c r="AF48" s="91"/>
      <x:c r="AG48" s="83"/>
      <x:c r="AH48" s="83"/>
      <x:c r="AI48" s="83"/>
      <x:c r="AJ48" s="83"/>
      <x:c r="AK48" s="89"/>
      <x:c r="AL48" s="89"/>
      <x:c r="AM48" s="89"/>
      <x:c r="AN48" s="24"/>
      <x:c r="AO48" s="91"/>
      <x:c r="AP48" s="24"/>
      <x:c r="AQ48" s="24"/>
      <x:c r="AR48" s="91"/>
      <x:c r="AS48" s="89"/>
      <x:c r="AT48" s="92"/>
      <x:c r="AU48" s="27"/>
      <x:c r="AV48" s="27"/>
      <x:c r="AW48" s="27"/>
      <x:c r="AX48" s="93"/>
      <x:c r="AY48" s="27"/>
      <x:c r="AZ48" s="27"/>
      <x:c r="BA48" s="94"/>
      <x:c r="BB48" s="82"/>
      <x:c r="BC48" s="80"/>
      <x:c r="BD48" s="83"/>
    </x:row>
    <x:row r="49">
      <x:c r="A49" s="80"/>
      <x:c r="B49" s="80"/>
      <x:c r="C49" s="25"/>
      <x:c r="D49" s="25"/>
      <x:c r="E49" s="80"/>
      <x:c r="F49" s="24"/>
      <x:c r="G49" s="24"/>
      <x:c r="H49" s="25"/>
      <x:c r="I49" s="80"/>
      <x:c r="J49" s="25"/>
      <x:c r="K49" s="89"/>
      <x:c r="L49" s="83"/>
      <x:c r="M49" s="24"/>
      <x:c r="N49" s="90"/>
      <x:c r="O49" s="90"/>
      <x:c r="P49" s="91"/>
      <x:c r="Q49" s="89"/>
      <x:c r="R49" s="91"/>
      <x:c r="S49" s="24"/>
      <x:c r="T49" s="24"/>
      <x:c r="U49" s="24"/>
      <x:c r="V49" s="83"/>
      <x:c r="W49" s="89"/>
      <x:c r="X49" s="91"/>
      <x:c r="Y49" s="91"/>
      <x:c r="Z49" s="91"/>
      <x:c r="AA49" s="24"/>
      <x:c r="AB49" s="24"/>
      <x:c r="AC49" s="24"/>
      <x:c r="AD49" s="24"/>
      <x:c r="AE49" s="89"/>
      <x:c r="AF49" s="91"/>
      <x:c r="AG49" s="83"/>
      <x:c r="AH49" s="83"/>
      <x:c r="AI49" s="83"/>
      <x:c r="AJ49" s="83"/>
      <x:c r="AK49" s="89"/>
      <x:c r="AL49" s="89"/>
      <x:c r="AM49" s="89"/>
      <x:c r="AN49" s="24"/>
      <x:c r="AO49" s="91"/>
      <x:c r="AP49" s="24"/>
      <x:c r="AQ49" s="24"/>
      <x:c r="AR49" s="91"/>
      <x:c r="AS49" s="89"/>
      <x:c r="AT49" s="92"/>
      <x:c r="AU49" s="27"/>
      <x:c r="AV49" s="27"/>
      <x:c r="AW49" s="27"/>
      <x:c r="AX49" s="93"/>
      <x:c r="AY49" s="27"/>
      <x:c r="AZ49" s="27"/>
      <x:c r="BA49" s="94"/>
      <x:c r="BB49" s="82"/>
      <x:c r="BC49" s="80"/>
      <x:c r="BD49" s="83"/>
    </x:row>
    <x:row r="50">
      <x:c r="A50" s="80"/>
      <x:c r="B50" s="80"/>
      <x:c r="C50" s="25"/>
      <x:c r="D50" s="25"/>
      <x:c r="E50" s="80"/>
      <x:c r="F50" s="24"/>
      <x:c r="G50" s="24"/>
      <x:c r="H50" s="25"/>
      <x:c r="I50" s="80"/>
      <x:c r="J50" s="25"/>
      <x:c r="K50" s="89"/>
      <x:c r="L50" s="83"/>
      <x:c r="M50" s="24"/>
      <x:c r="N50" s="90"/>
      <x:c r="O50" s="90"/>
      <x:c r="P50" s="91"/>
      <x:c r="Q50" s="89"/>
      <x:c r="R50" s="91"/>
      <x:c r="S50" s="24"/>
      <x:c r="T50" s="24"/>
      <x:c r="U50" s="24"/>
      <x:c r="V50" s="83"/>
      <x:c r="W50" s="89"/>
      <x:c r="X50" s="91"/>
      <x:c r="Y50" s="91"/>
      <x:c r="Z50" s="91"/>
      <x:c r="AA50" s="24"/>
      <x:c r="AB50" s="24"/>
      <x:c r="AC50" s="24"/>
      <x:c r="AD50" s="24"/>
      <x:c r="AE50" s="89"/>
      <x:c r="AF50" s="91"/>
      <x:c r="AG50" s="83"/>
      <x:c r="AH50" s="83"/>
      <x:c r="AI50" s="83"/>
      <x:c r="AJ50" s="83"/>
      <x:c r="AK50" s="89"/>
      <x:c r="AL50" s="89"/>
      <x:c r="AM50" s="89"/>
      <x:c r="AN50" s="24"/>
      <x:c r="AO50" s="91"/>
      <x:c r="AP50" s="24"/>
      <x:c r="AQ50" s="24"/>
      <x:c r="AR50" s="91"/>
      <x:c r="AS50" s="89"/>
      <x:c r="AT50" s="92"/>
      <x:c r="AU50" s="27"/>
      <x:c r="AV50" s="27"/>
      <x:c r="AW50" s="27"/>
      <x:c r="AX50" s="93"/>
      <x:c r="AY50" s="27"/>
      <x:c r="AZ50" s="27"/>
      <x:c r="BA50" s="94"/>
      <x:c r="BB50" s="82"/>
      <x:c r="BC50" s="80"/>
      <x:c r="BD50" s="83"/>
    </x:row>
    <x:row r="51">
      <x:c r="A51" s="80"/>
      <x:c r="B51" s="80"/>
      <x:c r="C51" s="25"/>
      <x:c r="D51" s="25"/>
      <x:c r="E51" s="80"/>
      <x:c r="F51" s="24"/>
      <x:c r="G51" s="24"/>
      <x:c r="H51" s="25"/>
      <x:c r="I51" s="80"/>
      <x:c r="J51" s="25"/>
      <x:c r="K51" s="89"/>
      <x:c r="L51" s="83"/>
      <x:c r="M51" s="24"/>
      <x:c r="N51" s="90"/>
      <x:c r="O51" s="90"/>
      <x:c r="P51" s="91"/>
      <x:c r="Q51" s="89"/>
      <x:c r="R51" s="91"/>
      <x:c r="S51" s="24"/>
      <x:c r="T51" s="24"/>
      <x:c r="U51" s="24"/>
      <x:c r="V51" s="83"/>
      <x:c r="W51" s="89"/>
      <x:c r="X51" s="91"/>
      <x:c r="Y51" s="91"/>
      <x:c r="Z51" s="91"/>
      <x:c r="AA51" s="24"/>
      <x:c r="AB51" s="24"/>
      <x:c r="AC51" s="24"/>
      <x:c r="AD51" s="24"/>
      <x:c r="AE51" s="89"/>
      <x:c r="AF51" s="91"/>
      <x:c r="AG51" s="83"/>
      <x:c r="AH51" s="83"/>
      <x:c r="AI51" s="83"/>
      <x:c r="AJ51" s="83"/>
      <x:c r="AK51" s="89"/>
      <x:c r="AL51" s="89"/>
      <x:c r="AM51" s="89"/>
      <x:c r="AN51" s="24"/>
      <x:c r="AO51" s="91"/>
      <x:c r="AP51" s="24"/>
      <x:c r="AQ51" s="24"/>
      <x:c r="AR51" s="91"/>
      <x:c r="AS51" s="89"/>
      <x:c r="AT51" s="92"/>
      <x:c r="AU51" s="27"/>
      <x:c r="AV51" s="27"/>
      <x:c r="AW51" s="27"/>
      <x:c r="AX51" s="93"/>
      <x:c r="AY51" s="27"/>
      <x:c r="AZ51" s="27"/>
      <x:c r="BA51" s="94"/>
      <x:c r="BB51" s="82"/>
      <x:c r="BC51" s="80"/>
      <x:c r="BD51" s="83"/>
    </x:row>
    <x:row r="52">
      <x:c r="A52" s="80"/>
      <x:c r="B52" s="80"/>
      <x:c r="C52" s="25"/>
      <x:c r="D52" s="25"/>
      <x:c r="E52" s="80"/>
      <x:c r="F52" s="24"/>
      <x:c r="G52" s="24"/>
      <x:c r="H52" s="25"/>
      <x:c r="I52" s="80"/>
      <x:c r="J52" s="25"/>
      <x:c r="K52" s="89"/>
      <x:c r="L52" s="83"/>
      <x:c r="M52" s="24"/>
      <x:c r="N52" s="90"/>
      <x:c r="O52" s="90"/>
      <x:c r="P52" s="91"/>
      <x:c r="Q52" s="89"/>
      <x:c r="R52" s="91"/>
      <x:c r="S52" s="24"/>
      <x:c r="T52" s="24"/>
      <x:c r="U52" s="24"/>
      <x:c r="V52" s="83"/>
      <x:c r="W52" s="89"/>
      <x:c r="X52" s="91"/>
      <x:c r="Y52" s="91"/>
      <x:c r="Z52" s="91"/>
      <x:c r="AA52" s="24"/>
      <x:c r="AB52" s="24"/>
      <x:c r="AC52" s="24"/>
      <x:c r="AD52" s="24"/>
      <x:c r="AE52" s="89"/>
      <x:c r="AF52" s="91"/>
      <x:c r="AG52" s="83"/>
      <x:c r="AH52" s="83"/>
      <x:c r="AI52" s="83"/>
      <x:c r="AJ52" s="83"/>
      <x:c r="AK52" s="89"/>
      <x:c r="AL52" s="89"/>
      <x:c r="AM52" s="89"/>
      <x:c r="AN52" s="24"/>
      <x:c r="AO52" s="91"/>
      <x:c r="AP52" s="24"/>
      <x:c r="AQ52" s="24"/>
      <x:c r="AR52" s="91"/>
      <x:c r="AS52" s="89"/>
      <x:c r="AT52" s="92"/>
      <x:c r="AU52" s="27"/>
      <x:c r="AV52" s="27"/>
      <x:c r="AW52" s="27"/>
      <x:c r="AX52" s="93"/>
      <x:c r="AY52" s="27"/>
      <x:c r="AZ52" s="27"/>
      <x:c r="BA52" s="94"/>
      <x:c r="BB52" s="82"/>
      <x:c r="BC52" s="80"/>
      <x:c r="BD52" s="83"/>
    </x:row>
    <x:row r="53">
      <x:c r="A53" s="80"/>
      <x:c r="B53" s="80"/>
      <x:c r="C53" s="25"/>
      <x:c r="D53" s="25"/>
      <x:c r="E53" s="80"/>
      <x:c r="F53" s="24"/>
      <x:c r="G53" s="24"/>
      <x:c r="H53" s="25"/>
      <x:c r="I53" s="80"/>
      <x:c r="J53" s="25"/>
      <x:c r="K53" s="89"/>
      <x:c r="L53" s="83"/>
      <x:c r="M53" s="24"/>
      <x:c r="N53" s="90"/>
      <x:c r="O53" s="90"/>
      <x:c r="P53" s="91"/>
      <x:c r="Q53" s="89"/>
      <x:c r="R53" s="91"/>
      <x:c r="S53" s="24"/>
      <x:c r="T53" s="24"/>
      <x:c r="U53" s="24"/>
      <x:c r="V53" s="83"/>
      <x:c r="W53" s="89"/>
      <x:c r="X53" s="91"/>
      <x:c r="Y53" s="91"/>
      <x:c r="Z53" s="91"/>
      <x:c r="AA53" s="24"/>
      <x:c r="AB53" s="24"/>
      <x:c r="AC53" s="24"/>
      <x:c r="AD53" s="24"/>
      <x:c r="AE53" s="89"/>
      <x:c r="AF53" s="91"/>
      <x:c r="AG53" s="83"/>
      <x:c r="AH53" s="83"/>
      <x:c r="AI53" s="83"/>
      <x:c r="AJ53" s="83"/>
      <x:c r="AK53" s="89"/>
      <x:c r="AL53" s="89"/>
      <x:c r="AM53" s="89"/>
      <x:c r="AN53" s="24"/>
      <x:c r="AO53" s="91"/>
      <x:c r="AP53" s="24"/>
      <x:c r="AQ53" s="24"/>
      <x:c r="AR53" s="91"/>
      <x:c r="AS53" s="89"/>
      <x:c r="AT53" s="92"/>
      <x:c r="AU53" s="27"/>
      <x:c r="AV53" s="27"/>
      <x:c r="AW53" s="27"/>
      <x:c r="AX53" s="93"/>
      <x:c r="AY53" s="27"/>
      <x:c r="AZ53" s="27"/>
      <x:c r="BA53" s="94"/>
      <x:c r="BB53" s="82"/>
      <x:c r="BC53" s="80"/>
      <x:c r="BD53" s="83"/>
    </x:row>
    <x:row r="54">
      <x:c r="A54" s="80"/>
      <x:c r="B54" s="80"/>
      <x:c r="C54" s="25"/>
      <x:c r="D54" s="25"/>
      <x:c r="E54" s="80"/>
      <x:c r="F54" s="24"/>
      <x:c r="G54" s="24"/>
      <x:c r="H54" s="25"/>
      <x:c r="I54" s="80"/>
      <x:c r="J54" s="25"/>
      <x:c r="K54" s="89"/>
      <x:c r="L54" s="83"/>
      <x:c r="M54" s="24"/>
      <x:c r="N54" s="90"/>
      <x:c r="O54" s="90"/>
      <x:c r="P54" s="91"/>
      <x:c r="Q54" s="89"/>
      <x:c r="R54" s="91"/>
      <x:c r="S54" s="24"/>
      <x:c r="T54" s="24"/>
      <x:c r="U54" s="24"/>
      <x:c r="V54" s="83"/>
      <x:c r="W54" s="89"/>
      <x:c r="X54" s="91"/>
      <x:c r="Y54" s="91"/>
      <x:c r="Z54" s="91"/>
      <x:c r="AA54" s="24"/>
      <x:c r="AB54" s="24"/>
      <x:c r="AC54" s="24"/>
      <x:c r="AD54" s="24"/>
      <x:c r="AE54" s="89"/>
      <x:c r="AF54" s="91"/>
      <x:c r="AG54" s="83"/>
      <x:c r="AH54" s="83"/>
      <x:c r="AI54" s="83"/>
      <x:c r="AJ54" s="83"/>
      <x:c r="AK54" s="89"/>
      <x:c r="AL54" s="89"/>
      <x:c r="AM54" s="89"/>
      <x:c r="AN54" s="24"/>
      <x:c r="AO54" s="91"/>
      <x:c r="AP54" s="24"/>
      <x:c r="AQ54" s="24"/>
      <x:c r="AR54" s="91"/>
      <x:c r="AS54" s="89"/>
      <x:c r="AT54" s="92"/>
      <x:c r="AU54" s="27"/>
      <x:c r="AV54" s="27"/>
      <x:c r="AW54" s="27"/>
      <x:c r="AX54" s="93"/>
      <x:c r="AY54" s="27"/>
      <x:c r="AZ54" s="27"/>
      <x:c r="BA54" s="94"/>
      <x:c r="BB54" s="82"/>
      <x:c r="BC54" s="80"/>
      <x:c r="BD54" s="83"/>
    </x:row>
    <x:row r="55">
      <x:c r="A55" s="80"/>
      <x:c r="B55" s="80"/>
      <x:c r="C55" s="25"/>
      <x:c r="D55" s="25"/>
      <x:c r="E55" s="80"/>
      <x:c r="F55" s="24"/>
      <x:c r="G55" s="24"/>
      <x:c r="H55" s="25"/>
      <x:c r="I55" s="80"/>
      <x:c r="J55" s="25"/>
      <x:c r="K55" s="89"/>
      <x:c r="L55" s="83"/>
      <x:c r="M55" s="24"/>
      <x:c r="N55" s="90"/>
      <x:c r="O55" s="90"/>
      <x:c r="P55" s="91"/>
      <x:c r="Q55" s="89"/>
      <x:c r="R55" s="91"/>
      <x:c r="S55" s="24"/>
      <x:c r="T55" s="24"/>
      <x:c r="U55" s="24"/>
      <x:c r="V55" s="83"/>
      <x:c r="W55" s="89"/>
      <x:c r="X55" s="91"/>
      <x:c r="Y55" s="91"/>
      <x:c r="Z55" s="91"/>
      <x:c r="AA55" s="24"/>
      <x:c r="AB55" s="24"/>
      <x:c r="AC55" s="24"/>
      <x:c r="AD55" s="24"/>
      <x:c r="AE55" s="89"/>
      <x:c r="AF55" s="91"/>
      <x:c r="AG55" s="83"/>
      <x:c r="AH55" s="83"/>
      <x:c r="AI55" s="83"/>
      <x:c r="AJ55" s="83"/>
      <x:c r="AK55" s="89"/>
      <x:c r="AL55" s="89"/>
      <x:c r="AM55" s="89"/>
      <x:c r="AN55" s="24"/>
      <x:c r="AO55" s="91"/>
      <x:c r="AP55" s="24"/>
      <x:c r="AQ55" s="24"/>
      <x:c r="AR55" s="91"/>
      <x:c r="AS55" s="89"/>
      <x:c r="AT55" s="92"/>
      <x:c r="AU55" s="27"/>
      <x:c r="AV55" s="27"/>
      <x:c r="AW55" s="27"/>
      <x:c r="AX55" s="93"/>
      <x:c r="AY55" s="27"/>
      <x:c r="AZ55" s="27"/>
      <x:c r="BA55" s="94"/>
      <x:c r="BB55" s="82"/>
      <x:c r="BC55" s="80"/>
      <x:c r="BD55" s="83"/>
    </x:row>
    <x:row r="56">
      <x:c r="A56" s="80"/>
      <x:c r="B56" s="80"/>
      <x:c r="C56" s="25"/>
      <x:c r="D56" s="25"/>
      <x:c r="E56" s="80"/>
      <x:c r="F56" s="24"/>
      <x:c r="G56" s="24"/>
      <x:c r="H56" s="25"/>
      <x:c r="I56" s="80"/>
      <x:c r="J56" s="25"/>
      <x:c r="K56" s="89"/>
      <x:c r="L56" s="83"/>
      <x:c r="M56" s="24"/>
      <x:c r="N56" s="90"/>
      <x:c r="O56" s="90"/>
      <x:c r="P56" s="91"/>
      <x:c r="Q56" s="89"/>
      <x:c r="R56" s="91"/>
      <x:c r="S56" s="24"/>
      <x:c r="T56" s="24"/>
      <x:c r="U56" s="24"/>
      <x:c r="V56" s="83"/>
      <x:c r="W56" s="89"/>
      <x:c r="X56" s="91"/>
      <x:c r="Y56" s="91"/>
      <x:c r="Z56" s="91"/>
      <x:c r="AA56" s="24"/>
      <x:c r="AB56" s="24"/>
      <x:c r="AC56" s="24"/>
      <x:c r="AD56" s="24"/>
      <x:c r="AE56" s="89"/>
      <x:c r="AF56" s="91"/>
      <x:c r="AG56" s="83"/>
      <x:c r="AH56" s="83"/>
      <x:c r="AI56" s="83"/>
      <x:c r="AJ56" s="83"/>
      <x:c r="AK56" s="89"/>
      <x:c r="AL56" s="89"/>
      <x:c r="AM56" s="89"/>
      <x:c r="AN56" s="24"/>
      <x:c r="AO56" s="91"/>
      <x:c r="AP56" s="24"/>
      <x:c r="AQ56" s="24"/>
      <x:c r="AR56" s="91"/>
      <x:c r="AS56" s="89"/>
      <x:c r="AT56" s="92"/>
      <x:c r="AU56" s="27"/>
      <x:c r="AV56" s="27"/>
      <x:c r="AW56" s="27"/>
      <x:c r="AX56" s="93"/>
      <x:c r="AY56" s="27"/>
      <x:c r="AZ56" s="27"/>
      <x:c r="BA56" s="94"/>
      <x:c r="BB56" s="82"/>
      <x:c r="BC56" s="80"/>
      <x:c r="BD56" s="83"/>
    </x:row>
    <x:row r="57">
      <x:c r="A57" s="80"/>
      <x:c r="B57" s="80"/>
      <x:c r="C57" s="25"/>
      <x:c r="D57" s="25"/>
      <x:c r="E57" s="80"/>
      <x:c r="F57" s="24"/>
      <x:c r="G57" s="24"/>
      <x:c r="H57" s="25"/>
      <x:c r="I57" s="80"/>
      <x:c r="J57" s="25"/>
      <x:c r="K57" s="89"/>
      <x:c r="L57" s="83"/>
      <x:c r="M57" s="24"/>
      <x:c r="N57" s="90"/>
      <x:c r="O57" s="90"/>
      <x:c r="P57" s="91"/>
      <x:c r="Q57" s="89"/>
      <x:c r="R57" s="91"/>
      <x:c r="S57" s="24"/>
      <x:c r="T57" s="24"/>
      <x:c r="U57" s="24"/>
      <x:c r="V57" s="83"/>
      <x:c r="W57" s="89"/>
      <x:c r="X57" s="91"/>
      <x:c r="Y57" s="91"/>
      <x:c r="Z57" s="91"/>
      <x:c r="AA57" s="24"/>
      <x:c r="AB57" s="24"/>
      <x:c r="AC57" s="24"/>
      <x:c r="AD57" s="24"/>
      <x:c r="AE57" s="89"/>
      <x:c r="AF57" s="91"/>
      <x:c r="AG57" s="83"/>
      <x:c r="AH57" s="83"/>
      <x:c r="AI57" s="83"/>
      <x:c r="AJ57" s="83"/>
      <x:c r="AK57" s="89"/>
      <x:c r="AL57" s="89"/>
      <x:c r="AM57" s="89"/>
      <x:c r="AN57" s="24"/>
      <x:c r="AO57" s="91"/>
      <x:c r="AP57" s="24"/>
      <x:c r="AQ57" s="24"/>
      <x:c r="AR57" s="91"/>
      <x:c r="AS57" s="89"/>
      <x:c r="AT57" s="92"/>
      <x:c r="AU57" s="27"/>
      <x:c r="AV57" s="27"/>
      <x:c r="AW57" s="27"/>
      <x:c r="AX57" s="93"/>
      <x:c r="AY57" s="27"/>
      <x:c r="AZ57" s="27"/>
      <x:c r="BA57" s="94"/>
      <x:c r="BB57" s="82"/>
      <x:c r="BC57" s="80"/>
      <x:c r="BD57" s="83"/>
    </x:row>
    <x:row r="58">
      <x:c r="A58" s="80"/>
      <x:c r="B58" s="80"/>
      <x:c r="C58" s="25"/>
      <x:c r="D58" s="25"/>
      <x:c r="E58" s="80"/>
      <x:c r="F58" s="24"/>
      <x:c r="G58" s="24"/>
      <x:c r="H58" s="25"/>
      <x:c r="I58" s="80"/>
      <x:c r="J58" s="25"/>
      <x:c r="K58" s="89"/>
      <x:c r="L58" s="83"/>
      <x:c r="M58" s="24"/>
      <x:c r="N58" s="90"/>
      <x:c r="O58" s="90"/>
      <x:c r="P58" s="91"/>
      <x:c r="Q58" s="89"/>
      <x:c r="R58" s="91"/>
      <x:c r="S58" s="24"/>
      <x:c r="T58" s="24"/>
      <x:c r="U58" s="24"/>
      <x:c r="V58" s="83"/>
      <x:c r="W58" s="89"/>
      <x:c r="X58" s="91"/>
      <x:c r="Y58" s="91"/>
      <x:c r="Z58" s="91"/>
      <x:c r="AA58" s="24"/>
      <x:c r="AB58" s="24"/>
      <x:c r="AC58" s="24"/>
      <x:c r="AD58" s="24"/>
      <x:c r="AE58" s="89"/>
      <x:c r="AF58" s="91"/>
      <x:c r="AG58" s="83"/>
      <x:c r="AH58" s="83"/>
      <x:c r="AI58" s="83"/>
      <x:c r="AJ58" s="83"/>
      <x:c r="AK58" s="89"/>
      <x:c r="AL58" s="89"/>
      <x:c r="AM58" s="89"/>
      <x:c r="AN58" s="24"/>
      <x:c r="AO58" s="91"/>
      <x:c r="AP58" s="24"/>
      <x:c r="AQ58" s="24"/>
      <x:c r="AR58" s="91"/>
      <x:c r="AS58" s="89"/>
      <x:c r="AT58" s="92"/>
      <x:c r="AU58" s="27"/>
      <x:c r="AV58" s="27"/>
      <x:c r="AW58" s="27"/>
      <x:c r="AX58" s="93"/>
      <x:c r="AY58" s="27"/>
      <x:c r="AZ58" s="27"/>
      <x:c r="BA58" s="94"/>
      <x:c r="BB58" s="82"/>
      <x:c r="BC58" s="80"/>
      <x:c r="BD58" s="83"/>
    </x:row>
    <x:row r="59">
      <x:c r="A59" s="80"/>
      <x:c r="B59" s="80"/>
      <x:c r="C59" s="25"/>
      <x:c r="D59" s="25"/>
      <x:c r="E59" s="80"/>
      <x:c r="F59" s="24"/>
      <x:c r="G59" s="24"/>
      <x:c r="H59" s="25"/>
      <x:c r="I59" s="80"/>
      <x:c r="J59" s="25"/>
      <x:c r="K59" s="89"/>
      <x:c r="L59" s="83"/>
      <x:c r="M59" s="24"/>
      <x:c r="N59" s="90"/>
      <x:c r="O59" s="90"/>
      <x:c r="P59" s="91"/>
      <x:c r="Q59" s="89"/>
      <x:c r="R59" s="91"/>
      <x:c r="S59" s="24"/>
      <x:c r="T59" s="24"/>
      <x:c r="U59" s="24"/>
      <x:c r="V59" s="83"/>
      <x:c r="W59" s="89"/>
      <x:c r="X59" s="91"/>
      <x:c r="Y59" s="91"/>
      <x:c r="Z59" s="91"/>
      <x:c r="AA59" s="24"/>
      <x:c r="AB59" s="24"/>
      <x:c r="AC59" s="24"/>
      <x:c r="AD59" s="24"/>
      <x:c r="AE59" s="89"/>
      <x:c r="AF59" s="91"/>
      <x:c r="AG59" s="83"/>
      <x:c r="AH59" s="83"/>
      <x:c r="AI59" s="83"/>
      <x:c r="AJ59" s="83"/>
      <x:c r="AK59" s="89"/>
      <x:c r="AL59" s="89"/>
      <x:c r="AM59" s="89"/>
      <x:c r="AN59" s="24"/>
      <x:c r="AO59" s="91"/>
      <x:c r="AP59" s="24"/>
      <x:c r="AQ59" s="24"/>
      <x:c r="AR59" s="91"/>
      <x:c r="AS59" s="89"/>
      <x:c r="AT59" s="92"/>
      <x:c r="AU59" s="27"/>
      <x:c r="AV59" s="27"/>
      <x:c r="AW59" s="27"/>
      <x:c r="AX59" s="93"/>
      <x:c r="AY59" s="27"/>
      <x:c r="AZ59" s="27"/>
      <x:c r="BA59" s="94"/>
      <x:c r="BB59" s="82"/>
      <x:c r="BC59" s="80"/>
      <x:c r="BD59" s="83"/>
    </x:row>
    <x:row r="60">
      <x:c r="A60" s="80"/>
      <x:c r="B60" s="80"/>
      <x:c r="C60" s="25"/>
      <x:c r="D60" s="25"/>
      <x:c r="E60" s="80"/>
      <x:c r="F60" s="24"/>
      <x:c r="G60" s="24"/>
      <x:c r="H60" s="25"/>
      <x:c r="I60" s="80"/>
      <x:c r="J60" s="25"/>
      <x:c r="K60" s="89"/>
      <x:c r="L60" s="83"/>
      <x:c r="M60" s="24"/>
      <x:c r="N60" s="90"/>
      <x:c r="O60" s="90"/>
      <x:c r="P60" s="91"/>
      <x:c r="Q60" s="89"/>
      <x:c r="R60" s="91"/>
      <x:c r="S60" s="24"/>
      <x:c r="T60" s="24"/>
      <x:c r="U60" s="24"/>
      <x:c r="V60" s="83"/>
      <x:c r="W60" s="89"/>
      <x:c r="X60" s="91"/>
      <x:c r="Y60" s="91"/>
      <x:c r="Z60" s="91"/>
      <x:c r="AA60" s="24"/>
      <x:c r="AB60" s="24"/>
      <x:c r="AC60" s="24"/>
      <x:c r="AD60" s="24"/>
      <x:c r="AE60" s="89"/>
      <x:c r="AF60" s="91"/>
      <x:c r="AG60" s="83"/>
      <x:c r="AH60" s="83"/>
      <x:c r="AI60" s="83"/>
      <x:c r="AJ60" s="83"/>
      <x:c r="AK60" s="89"/>
      <x:c r="AL60" s="89"/>
      <x:c r="AM60" s="89"/>
      <x:c r="AN60" s="24"/>
      <x:c r="AO60" s="91"/>
      <x:c r="AP60" s="24"/>
      <x:c r="AQ60" s="24"/>
      <x:c r="AR60" s="91"/>
      <x:c r="AS60" s="89"/>
      <x:c r="AT60" s="92"/>
      <x:c r="AU60" s="27"/>
      <x:c r="AV60" s="27"/>
      <x:c r="AW60" s="27"/>
      <x:c r="AX60" s="93"/>
      <x:c r="AY60" s="27"/>
      <x:c r="AZ60" s="27"/>
      <x:c r="BA60" s="94"/>
      <x:c r="BB60" s="82"/>
      <x:c r="BC60" s="80"/>
      <x:c r="BD60" s="83"/>
    </x:row>
    <x:row r="61">
      <x:c r="A61" s="80"/>
      <x:c r="B61" s="80"/>
      <x:c r="C61" s="25"/>
      <x:c r="D61" s="25"/>
      <x:c r="E61" s="80"/>
      <x:c r="F61" s="24"/>
      <x:c r="G61" s="24"/>
      <x:c r="H61" s="25"/>
      <x:c r="I61" s="80"/>
      <x:c r="J61" s="25"/>
      <x:c r="K61" s="89"/>
      <x:c r="L61" s="83"/>
      <x:c r="M61" s="24"/>
      <x:c r="N61" s="90"/>
      <x:c r="O61" s="90"/>
      <x:c r="P61" s="91"/>
      <x:c r="Q61" s="89"/>
      <x:c r="R61" s="91"/>
      <x:c r="S61" s="24"/>
      <x:c r="T61" s="24"/>
      <x:c r="U61" s="24"/>
      <x:c r="V61" s="83"/>
      <x:c r="W61" s="89"/>
      <x:c r="X61" s="91"/>
      <x:c r="Y61" s="91"/>
      <x:c r="Z61" s="91"/>
      <x:c r="AA61" s="24"/>
      <x:c r="AB61" s="24"/>
      <x:c r="AC61" s="24"/>
      <x:c r="AD61" s="24"/>
      <x:c r="AE61" s="89"/>
      <x:c r="AF61" s="91"/>
      <x:c r="AG61" s="83"/>
      <x:c r="AH61" s="83"/>
      <x:c r="AI61" s="83"/>
      <x:c r="AJ61" s="83"/>
      <x:c r="AK61" s="89"/>
      <x:c r="AL61" s="89"/>
      <x:c r="AM61" s="89"/>
      <x:c r="AN61" s="24"/>
      <x:c r="AO61" s="91"/>
      <x:c r="AP61" s="24"/>
      <x:c r="AQ61" s="24"/>
      <x:c r="AR61" s="91"/>
      <x:c r="AS61" s="89"/>
      <x:c r="AT61" s="92"/>
      <x:c r="AU61" s="27"/>
      <x:c r="AV61" s="27"/>
      <x:c r="AW61" s="27"/>
      <x:c r="AX61" s="93"/>
      <x:c r="AY61" s="27"/>
      <x:c r="AZ61" s="27"/>
      <x:c r="BA61" s="94"/>
      <x:c r="BB61" s="82"/>
      <x:c r="BC61" s="80"/>
      <x:c r="BD61" s="83"/>
    </x:row>
    <x:row r="62">
      <x:c r="A62" s="80"/>
      <x:c r="B62" s="80"/>
      <x:c r="C62" s="25"/>
      <x:c r="D62" s="25"/>
      <x:c r="E62" s="80"/>
      <x:c r="F62" s="24"/>
      <x:c r="G62" s="24"/>
      <x:c r="H62" s="25"/>
      <x:c r="I62" s="80"/>
      <x:c r="J62" s="25"/>
      <x:c r="K62" s="89"/>
      <x:c r="L62" s="83"/>
      <x:c r="M62" s="24"/>
      <x:c r="N62" s="90"/>
      <x:c r="O62" s="90"/>
      <x:c r="P62" s="91"/>
      <x:c r="Q62" s="89"/>
      <x:c r="R62" s="91"/>
      <x:c r="S62" s="24"/>
      <x:c r="T62" s="24"/>
      <x:c r="U62" s="24"/>
      <x:c r="V62" s="83"/>
      <x:c r="W62" s="89"/>
      <x:c r="X62" s="91"/>
      <x:c r="Y62" s="91"/>
      <x:c r="Z62" s="91"/>
      <x:c r="AA62" s="24"/>
      <x:c r="AB62" s="24"/>
      <x:c r="AC62" s="24"/>
      <x:c r="AD62" s="24"/>
      <x:c r="AE62" s="89"/>
      <x:c r="AF62" s="91"/>
      <x:c r="AG62" s="83"/>
      <x:c r="AH62" s="83"/>
      <x:c r="AI62" s="83"/>
      <x:c r="AJ62" s="83"/>
      <x:c r="AK62" s="89"/>
      <x:c r="AL62" s="89"/>
      <x:c r="AM62" s="89"/>
      <x:c r="AN62" s="24"/>
      <x:c r="AO62" s="91"/>
      <x:c r="AP62" s="24"/>
      <x:c r="AQ62" s="24"/>
      <x:c r="AR62" s="91"/>
      <x:c r="AS62" s="89"/>
      <x:c r="AT62" s="92"/>
      <x:c r="AU62" s="27"/>
      <x:c r="AV62" s="27"/>
      <x:c r="AW62" s="27"/>
      <x:c r="AX62" s="93"/>
      <x:c r="AY62" s="27"/>
      <x:c r="AZ62" s="27"/>
      <x:c r="BA62" s="94"/>
      <x:c r="BB62" s="82"/>
      <x:c r="BC62" s="80"/>
      <x:c r="BD62" s="83"/>
    </x:row>
    <x:row r="63">
      <x:c r="A63" s="80"/>
      <x:c r="B63" s="80"/>
      <x:c r="C63" s="25"/>
      <x:c r="D63" s="25"/>
      <x:c r="E63" s="80"/>
      <x:c r="F63" s="24"/>
      <x:c r="G63" s="24"/>
      <x:c r="H63" s="25"/>
      <x:c r="I63" s="80"/>
      <x:c r="J63" s="25"/>
      <x:c r="K63" s="89"/>
      <x:c r="L63" s="83"/>
      <x:c r="M63" s="24"/>
      <x:c r="N63" s="90"/>
      <x:c r="O63" s="90"/>
      <x:c r="P63" s="91"/>
      <x:c r="Q63" s="89"/>
      <x:c r="R63" s="91"/>
      <x:c r="S63" s="24"/>
      <x:c r="T63" s="24"/>
      <x:c r="U63" s="24"/>
      <x:c r="V63" s="83"/>
      <x:c r="W63" s="89"/>
      <x:c r="X63" s="91"/>
      <x:c r="Y63" s="91"/>
      <x:c r="Z63" s="91"/>
      <x:c r="AA63" s="24"/>
      <x:c r="AB63" s="24"/>
      <x:c r="AC63" s="24"/>
      <x:c r="AD63" s="24"/>
      <x:c r="AE63" s="89"/>
      <x:c r="AF63" s="91"/>
      <x:c r="AG63" s="83"/>
      <x:c r="AH63" s="83"/>
      <x:c r="AI63" s="83"/>
      <x:c r="AJ63" s="83"/>
      <x:c r="AK63" s="89"/>
      <x:c r="AL63" s="89"/>
      <x:c r="AM63" s="89"/>
      <x:c r="AN63" s="24"/>
      <x:c r="AO63" s="91"/>
      <x:c r="AP63" s="24"/>
      <x:c r="AQ63" s="24"/>
      <x:c r="AR63" s="91"/>
      <x:c r="AS63" s="89"/>
      <x:c r="AT63" s="92"/>
      <x:c r="AU63" s="27"/>
      <x:c r="AV63" s="27"/>
      <x:c r="AW63" s="27"/>
      <x:c r="AX63" s="93"/>
      <x:c r="AY63" s="27"/>
      <x:c r="AZ63" s="27"/>
      <x:c r="BA63" s="94"/>
      <x:c r="BB63" s="82"/>
      <x:c r="BC63" s="80"/>
      <x:c r="BD63" s="83"/>
    </x:row>
    <x:row r="64">
      <x:c r="A64" s="80"/>
      <x:c r="B64" s="80"/>
      <x:c r="C64" s="25"/>
      <x:c r="D64" s="25"/>
      <x:c r="E64" s="80"/>
      <x:c r="F64" s="24"/>
      <x:c r="G64" s="24"/>
      <x:c r="H64" s="25"/>
      <x:c r="I64" s="80"/>
      <x:c r="J64" s="25"/>
      <x:c r="K64" s="89"/>
      <x:c r="L64" s="83"/>
      <x:c r="M64" s="24"/>
      <x:c r="N64" s="90"/>
      <x:c r="O64" s="90"/>
      <x:c r="P64" s="91"/>
      <x:c r="Q64" s="89"/>
      <x:c r="R64" s="91"/>
      <x:c r="S64" s="24"/>
      <x:c r="T64" s="24"/>
      <x:c r="U64" s="24"/>
      <x:c r="V64" s="83"/>
      <x:c r="W64" s="89"/>
      <x:c r="X64" s="91"/>
      <x:c r="Y64" s="91"/>
      <x:c r="Z64" s="91"/>
      <x:c r="AA64" s="24"/>
      <x:c r="AB64" s="24"/>
      <x:c r="AC64" s="24"/>
      <x:c r="AD64" s="24"/>
      <x:c r="AE64" s="89"/>
      <x:c r="AF64" s="91"/>
      <x:c r="AG64" s="83"/>
      <x:c r="AH64" s="83"/>
      <x:c r="AI64" s="83"/>
      <x:c r="AJ64" s="83"/>
      <x:c r="AK64" s="89"/>
      <x:c r="AL64" s="89"/>
      <x:c r="AM64" s="89"/>
      <x:c r="AN64" s="24"/>
      <x:c r="AO64" s="91"/>
      <x:c r="AP64" s="24"/>
      <x:c r="AQ64" s="24"/>
      <x:c r="AR64" s="91"/>
      <x:c r="AS64" s="89"/>
      <x:c r="AT64" s="92"/>
      <x:c r="AU64" s="27"/>
      <x:c r="AV64" s="27"/>
      <x:c r="AW64" s="27"/>
      <x:c r="AX64" s="93"/>
      <x:c r="AY64" s="27"/>
      <x:c r="AZ64" s="27"/>
      <x:c r="BA64" s="94"/>
      <x:c r="BB64" s="82"/>
      <x:c r="BC64" s="80"/>
      <x:c r="BD64" s="83"/>
    </x:row>
    <x:row r="65">
      <x:c r="A65" s="80"/>
      <x:c r="B65" s="80"/>
      <x:c r="C65" s="25"/>
      <x:c r="D65" s="25"/>
      <x:c r="E65" s="80"/>
      <x:c r="F65" s="24"/>
      <x:c r="G65" s="24"/>
      <x:c r="H65" s="25"/>
      <x:c r="I65" s="80"/>
      <x:c r="J65" s="25"/>
      <x:c r="K65" s="89"/>
      <x:c r="L65" s="83"/>
      <x:c r="M65" s="24"/>
      <x:c r="N65" s="90"/>
      <x:c r="O65" s="90"/>
      <x:c r="P65" s="91"/>
      <x:c r="Q65" s="89"/>
      <x:c r="R65" s="91"/>
      <x:c r="S65" s="24"/>
      <x:c r="T65" s="24"/>
      <x:c r="U65" s="24"/>
      <x:c r="V65" s="83"/>
      <x:c r="W65" s="89"/>
      <x:c r="X65" s="91"/>
      <x:c r="Y65" s="91"/>
      <x:c r="Z65" s="91"/>
      <x:c r="AA65" s="24"/>
      <x:c r="AB65" s="24"/>
      <x:c r="AC65" s="24"/>
      <x:c r="AD65" s="24"/>
      <x:c r="AE65" s="89"/>
      <x:c r="AF65" s="91"/>
      <x:c r="AG65" s="83"/>
      <x:c r="AH65" s="83"/>
      <x:c r="AI65" s="83"/>
      <x:c r="AJ65" s="83"/>
      <x:c r="AK65" s="89"/>
      <x:c r="AL65" s="89"/>
      <x:c r="AM65" s="89"/>
      <x:c r="AN65" s="24"/>
      <x:c r="AO65" s="91"/>
      <x:c r="AP65" s="24"/>
      <x:c r="AQ65" s="24"/>
      <x:c r="AR65" s="91"/>
      <x:c r="AS65" s="89"/>
      <x:c r="AT65" s="92"/>
      <x:c r="AU65" s="27"/>
      <x:c r="AV65" s="27"/>
      <x:c r="AW65" s="27"/>
      <x:c r="AX65" s="93"/>
      <x:c r="AY65" s="27"/>
      <x:c r="AZ65" s="27"/>
      <x:c r="BA65" s="94"/>
      <x:c r="BB65" s="82"/>
      <x:c r="BC65" s="80"/>
      <x:c r="BD65" s="83"/>
    </x:row>
    <x:row r="66">
      <x:c r="A66" s="80"/>
      <x:c r="B66" s="80"/>
      <x:c r="C66" s="25"/>
      <x:c r="D66" s="25"/>
      <x:c r="E66" s="80"/>
      <x:c r="F66" s="24"/>
      <x:c r="G66" s="24"/>
      <x:c r="H66" s="25"/>
      <x:c r="I66" s="80"/>
      <x:c r="J66" s="25"/>
      <x:c r="K66" s="89"/>
      <x:c r="L66" s="83"/>
      <x:c r="M66" s="24"/>
      <x:c r="N66" s="90"/>
      <x:c r="O66" s="90"/>
      <x:c r="P66" s="91"/>
      <x:c r="Q66" s="89"/>
      <x:c r="R66" s="91"/>
      <x:c r="S66" s="24"/>
      <x:c r="T66" s="24"/>
      <x:c r="U66" s="24"/>
      <x:c r="V66" s="83"/>
      <x:c r="W66" s="89"/>
      <x:c r="X66" s="91"/>
      <x:c r="Y66" s="91"/>
      <x:c r="Z66" s="91"/>
      <x:c r="AA66" s="24"/>
      <x:c r="AB66" s="24"/>
      <x:c r="AC66" s="24"/>
      <x:c r="AD66" s="24"/>
      <x:c r="AE66" s="89"/>
      <x:c r="AF66" s="91"/>
      <x:c r="AG66" s="83"/>
      <x:c r="AH66" s="83"/>
      <x:c r="AI66" s="83"/>
      <x:c r="AJ66" s="83"/>
      <x:c r="AK66" s="89"/>
      <x:c r="AL66" s="89"/>
      <x:c r="AM66" s="89"/>
      <x:c r="AN66" s="24"/>
      <x:c r="AO66" s="91"/>
      <x:c r="AP66" s="24"/>
      <x:c r="AQ66" s="24"/>
      <x:c r="AR66" s="91"/>
      <x:c r="AS66" s="89"/>
      <x:c r="AT66" s="92"/>
      <x:c r="AU66" s="27"/>
      <x:c r="AV66" s="27"/>
      <x:c r="AW66" s="27"/>
      <x:c r="AX66" s="93"/>
      <x:c r="AY66" s="27"/>
      <x:c r="AZ66" s="27"/>
      <x:c r="BA66" s="94"/>
      <x:c r="BB66" s="82"/>
      <x:c r="BC66" s="80"/>
      <x:c r="BD66" s="83"/>
    </x:row>
    <x:row r="67">
      <x:c r="A67" s="80"/>
      <x:c r="B67" s="80"/>
      <x:c r="C67" s="25"/>
      <x:c r="D67" s="25"/>
      <x:c r="E67" s="80"/>
      <x:c r="F67" s="24"/>
      <x:c r="G67" s="24"/>
      <x:c r="H67" s="25"/>
      <x:c r="I67" s="80"/>
      <x:c r="J67" s="25"/>
      <x:c r="K67" s="89"/>
      <x:c r="L67" s="83"/>
      <x:c r="M67" s="24"/>
      <x:c r="N67" s="90"/>
      <x:c r="O67" s="90"/>
      <x:c r="P67" s="91"/>
      <x:c r="Q67" s="89"/>
      <x:c r="R67" s="91"/>
      <x:c r="S67" s="24"/>
      <x:c r="T67" s="24"/>
      <x:c r="U67" s="24"/>
      <x:c r="V67" s="83"/>
      <x:c r="W67" s="89"/>
      <x:c r="X67" s="91"/>
      <x:c r="Y67" s="91"/>
      <x:c r="Z67" s="91"/>
      <x:c r="AA67" s="24"/>
      <x:c r="AB67" s="24"/>
      <x:c r="AC67" s="24"/>
      <x:c r="AD67" s="24"/>
      <x:c r="AE67" s="89"/>
      <x:c r="AF67" s="91"/>
      <x:c r="AG67" s="83"/>
      <x:c r="AH67" s="83"/>
      <x:c r="AI67" s="83"/>
      <x:c r="AJ67" s="83"/>
      <x:c r="AK67" s="89"/>
      <x:c r="AL67" s="89"/>
      <x:c r="AM67" s="89"/>
      <x:c r="AN67" s="24"/>
      <x:c r="AO67" s="91"/>
      <x:c r="AP67" s="24"/>
      <x:c r="AQ67" s="24"/>
      <x:c r="AR67" s="91"/>
      <x:c r="AS67" s="89"/>
      <x:c r="AT67" s="92"/>
      <x:c r="AU67" s="27"/>
      <x:c r="AV67" s="27"/>
      <x:c r="AW67" s="27"/>
      <x:c r="AX67" s="93"/>
      <x:c r="AY67" s="27"/>
      <x:c r="AZ67" s="27"/>
      <x:c r="BA67" s="94"/>
      <x:c r="BB67" s="82"/>
      <x:c r="BC67" s="80"/>
      <x:c r="BD67" s="83"/>
    </x:row>
    <x:row r="68">
      <x:c r="A68" s="80"/>
      <x:c r="B68" s="80"/>
      <x:c r="C68" s="25"/>
      <x:c r="D68" s="25"/>
      <x:c r="E68" s="80"/>
      <x:c r="F68" s="24"/>
      <x:c r="G68" s="24"/>
      <x:c r="H68" s="25"/>
      <x:c r="I68" s="80"/>
      <x:c r="J68" s="25"/>
      <x:c r="K68" s="89"/>
      <x:c r="L68" s="83"/>
      <x:c r="M68" s="24"/>
      <x:c r="N68" s="90"/>
      <x:c r="O68" s="90"/>
      <x:c r="P68" s="91"/>
      <x:c r="Q68" s="89"/>
      <x:c r="R68" s="91"/>
      <x:c r="S68" s="24"/>
      <x:c r="T68" s="24"/>
      <x:c r="U68" s="24"/>
      <x:c r="V68" s="83"/>
      <x:c r="W68" s="89"/>
      <x:c r="X68" s="91"/>
      <x:c r="Y68" s="91"/>
      <x:c r="Z68" s="91"/>
      <x:c r="AA68" s="24"/>
      <x:c r="AB68" s="24"/>
      <x:c r="AC68" s="24"/>
      <x:c r="AD68" s="24"/>
      <x:c r="AE68" s="89"/>
      <x:c r="AF68" s="91"/>
      <x:c r="AG68" s="83"/>
      <x:c r="AH68" s="83"/>
      <x:c r="AI68" s="83"/>
      <x:c r="AJ68" s="83"/>
      <x:c r="AK68" s="89"/>
      <x:c r="AL68" s="89"/>
      <x:c r="AM68" s="89"/>
      <x:c r="AN68" s="24"/>
      <x:c r="AO68" s="91"/>
      <x:c r="AP68" s="24"/>
      <x:c r="AQ68" s="24"/>
      <x:c r="AR68" s="91"/>
      <x:c r="AS68" s="89"/>
      <x:c r="AT68" s="92"/>
      <x:c r="AU68" s="27"/>
      <x:c r="AV68" s="27"/>
      <x:c r="AW68" s="27"/>
      <x:c r="AX68" s="93"/>
      <x:c r="AY68" s="27"/>
      <x:c r="AZ68" s="27"/>
      <x:c r="BA68" s="94"/>
      <x:c r="BB68" s="82"/>
      <x:c r="BC68" s="80"/>
      <x:c r="BD68" s="83"/>
    </x:row>
    <x:row r="69">
      <x:c r="A69" s="80"/>
      <x:c r="B69" s="80"/>
      <x:c r="C69" s="25"/>
      <x:c r="D69" s="25"/>
      <x:c r="E69" s="80"/>
      <x:c r="F69" s="24"/>
      <x:c r="G69" s="24"/>
      <x:c r="H69" s="25"/>
      <x:c r="I69" s="80"/>
      <x:c r="J69" s="25"/>
      <x:c r="K69" s="89"/>
      <x:c r="L69" s="83"/>
      <x:c r="M69" s="24"/>
      <x:c r="N69" s="90"/>
      <x:c r="O69" s="90"/>
      <x:c r="P69" s="91"/>
      <x:c r="Q69" s="89"/>
      <x:c r="R69" s="91"/>
      <x:c r="S69" s="24"/>
      <x:c r="T69" s="24"/>
      <x:c r="U69" s="24"/>
      <x:c r="V69" s="83"/>
      <x:c r="W69" s="89"/>
      <x:c r="X69" s="91"/>
      <x:c r="Y69" s="91"/>
      <x:c r="Z69" s="91"/>
      <x:c r="AA69" s="24"/>
      <x:c r="AB69" s="24"/>
      <x:c r="AC69" s="24"/>
      <x:c r="AD69" s="24"/>
      <x:c r="AE69" s="89"/>
      <x:c r="AF69" s="91"/>
      <x:c r="AG69" s="83"/>
      <x:c r="AH69" s="83"/>
      <x:c r="AI69" s="83"/>
      <x:c r="AJ69" s="83"/>
      <x:c r="AK69" s="89"/>
      <x:c r="AL69" s="89"/>
      <x:c r="AM69" s="89"/>
      <x:c r="AN69" s="24"/>
      <x:c r="AO69" s="91"/>
      <x:c r="AP69" s="24"/>
      <x:c r="AQ69" s="24"/>
      <x:c r="AR69" s="91"/>
      <x:c r="AS69" s="89"/>
      <x:c r="AT69" s="92"/>
      <x:c r="AU69" s="27"/>
      <x:c r="AV69" s="27"/>
      <x:c r="AW69" s="27"/>
      <x:c r="AX69" s="93"/>
      <x:c r="AY69" s="27"/>
      <x:c r="AZ69" s="27"/>
      <x:c r="BA69" s="94"/>
      <x:c r="BB69" s="82"/>
      <x:c r="BC69" s="80"/>
      <x:c r="BD69" s="83"/>
    </x:row>
    <x:row r="70">
      <x:c r="A70" s="80"/>
      <x:c r="B70" s="80"/>
      <x:c r="C70" s="25"/>
      <x:c r="D70" s="25"/>
      <x:c r="E70" s="80"/>
      <x:c r="F70" s="24"/>
      <x:c r="G70" s="24"/>
      <x:c r="H70" s="25"/>
      <x:c r="I70" s="80"/>
      <x:c r="J70" s="25"/>
      <x:c r="K70" s="89"/>
      <x:c r="L70" s="83"/>
      <x:c r="M70" s="24"/>
      <x:c r="N70" s="90"/>
      <x:c r="O70" s="90"/>
      <x:c r="P70" s="91"/>
      <x:c r="Q70" s="89"/>
      <x:c r="R70" s="91"/>
      <x:c r="S70" s="24"/>
      <x:c r="T70" s="24"/>
      <x:c r="U70" s="24"/>
      <x:c r="V70" s="83"/>
      <x:c r="W70" s="89"/>
      <x:c r="X70" s="91"/>
      <x:c r="Y70" s="91"/>
      <x:c r="Z70" s="91"/>
      <x:c r="AA70" s="24"/>
      <x:c r="AB70" s="24"/>
      <x:c r="AC70" s="24"/>
      <x:c r="AD70" s="24"/>
      <x:c r="AE70" s="89"/>
      <x:c r="AF70" s="91"/>
      <x:c r="AG70" s="83"/>
      <x:c r="AH70" s="83"/>
      <x:c r="AI70" s="83"/>
      <x:c r="AJ70" s="83"/>
      <x:c r="AK70" s="89"/>
      <x:c r="AL70" s="89"/>
      <x:c r="AM70" s="89"/>
      <x:c r="AN70" s="24"/>
      <x:c r="AO70" s="91"/>
      <x:c r="AP70" s="24"/>
      <x:c r="AQ70" s="24"/>
      <x:c r="AR70" s="91"/>
      <x:c r="AS70" s="89"/>
      <x:c r="AT70" s="92"/>
      <x:c r="AU70" s="27"/>
      <x:c r="AV70" s="27"/>
      <x:c r="AW70" s="27"/>
      <x:c r="AX70" s="93"/>
      <x:c r="AY70" s="27"/>
      <x:c r="AZ70" s="27"/>
      <x:c r="BA70" s="94"/>
      <x:c r="BB70" s="82"/>
      <x:c r="BC70" s="80"/>
      <x:c r="BD70" s="83"/>
    </x:row>
    <x:row r="71">
      <x:c r="A71" s="80"/>
      <x:c r="B71" s="80"/>
      <x:c r="C71" s="25"/>
      <x:c r="D71" s="25"/>
      <x:c r="E71" s="80"/>
      <x:c r="F71" s="24"/>
      <x:c r="G71" s="24"/>
      <x:c r="H71" s="25"/>
      <x:c r="I71" s="80"/>
      <x:c r="J71" s="25"/>
      <x:c r="K71" s="89"/>
      <x:c r="L71" s="83"/>
      <x:c r="M71" s="24"/>
      <x:c r="N71" s="90"/>
      <x:c r="O71" s="90"/>
      <x:c r="P71" s="91"/>
      <x:c r="Q71" s="89"/>
      <x:c r="R71" s="91"/>
      <x:c r="S71" s="24"/>
      <x:c r="T71" s="24"/>
      <x:c r="U71" s="24"/>
      <x:c r="V71" s="83"/>
      <x:c r="W71" s="89"/>
      <x:c r="X71" s="91"/>
      <x:c r="Y71" s="91"/>
      <x:c r="Z71" s="91"/>
      <x:c r="AA71" s="24"/>
      <x:c r="AB71" s="24"/>
      <x:c r="AC71" s="24"/>
      <x:c r="AD71" s="24"/>
      <x:c r="AE71" s="89"/>
      <x:c r="AF71" s="91"/>
      <x:c r="AG71" s="83"/>
      <x:c r="AH71" s="83"/>
      <x:c r="AI71" s="83"/>
      <x:c r="AJ71" s="83"/>
      <x:c r="AK71" s="89"/>
      <x:c r="AL71" s="89"/>
      <x:c r="AM71" s="89"/>
      <x:c r="AN71" s="24"/>
      <x:c r="AO71" s="91"/>
      <x:c r="AP71" s="24"/>
      <x:c r="AQ71" s="24"/>
      <x:c r="AR71" s="91"/>
      <x:c r="AS71" s="89"/>
      <x:c r="AT71" s="92"/>
      <x:c r="AU71" s="27"/>
      <x:c r="AV71" s="27"/>
      <x:c r="AW71" s="27"/>
      <x:c r="AX71" s="93"/>
      <x:c r="AY71" s="27"/>
      <x:c r="AZ71" s="27"/>
      <x:c r="BA71" s="94"/>
      <x:c r="BB71" s="82"/>
      <x:c r="BC71" s="80"/>
      <x:c r="BD71" s="83"/>
    </x:row>
    <x:row r="72">
      <x:c r="A72" s="80"/>
      <x:c r="B72" s="80"/>
      <x:c r="C72" s="25"/>
      <x:c r="D72" s="25"/>
      <x:c r="E72" s="80"/>
      <x:c r="F72" s="24"/>
      <x:c r="G72" s="24"/>
      <x:c r="H72" s="25"/>
      <x:c r="I72" s="80"/>
      <x:c r="J72" s="25"/>
      <x:c r="K72" s="89"/>
      <x:c r="L72" s="83"/>
      <x:c r="M72" s="24"/>
      <x:c r="N72" s="90"/>
      <x:c r="O72" s="90"/>
      <x:c r="P72" s="91"/>
      <x:c r="Q72" s="89"/>
      <x:c r="R72" s="91"/>
      <x:c r="S72" s="24"/>
      <x:c r="T72" s="24"/>
      <x:c r="U72" s="24"/>
      <x:c r="V72" s="83"/>
      <x:c r="W72" s="89"/>
      <x:c r="X72" s="91"/>
      <x:c r="Y72" s="91"/>
      <x:c r="Z72" s="91"/>
      <x:c r="AA72" s="24"/>
      <x:c r="AB72" s="24"/>
      <x:c r="AC72" s="24"/>
      <x:c r="AD72" s="24"/>
      <x:c r="AE72" s="89"/>
      <x:c r="AF72" s="91"/>
      <x:c r="AG72" s="83"/>
      <x:c r="AH72" s="83"/>
      <x:c r="AI72" s="83"/>
      <x:c r="AJ72" s="83"/>
      <x:c r="AK72" s="89"/>
      <x:c r="AL72" s="89"/>
      <x:c r="AM72" s="89"/>
      <x:c r="AN72" s="24"/>
      <x:c r="AO72" s="91"/>
      <x:c r="AP72" s="24"/>
      <x:c r="AQ72" s="24"/>
      <x:c r="AR72" s="91"/>
      <x:c r="AS72" s="89"/>
      <x:c r="AT72" s="92"/>
      <x:c r="AU72" s="27"/>
      <x:c r="AV72" s="27"/>
      <x:c r="AW72" s="27"/>
      <x:c r="AX72" s="93"/>
      <x:c r="AY72" s="27"/>
      <x:c r="AZ72" s="27"/>
      <x:c r="BA72" s="94"/>
      <x:c r="BB72" s="82"/>
      <x:c r="BC72" s="80"/>
      <x:c r="BD72" s="83"/>
    </x:row>
    <x:row r="73">
      <x:c r="A73" s="80"/>
      <x:c r="B73" s="80"/>
      <x:c r="C73" s="25"/>
      <x:c r="D73" s="25"/>
      <x:c r="E73" s="80"/>
      <x:c r="F73" s="24"/>
      <x:c r="G73" s="24"/>
      <x:c r="H73" s="25"/>
      <x:c r="I73" s="80"/>
      <x:c r="J73" s="25"/>
      <x:c r="K73" s="89"/>
      <x:c r="L73" s="83"/>
      <x:c r="M73" s="24"/>
      <x:c r="N73" s="90"/>
      <x:c r="O73" s="90"/>
      <x:c r="P73" s="91"/>
      <x:c r="Q73" s="89"/>
      <x:c r="R73" s="91"/>
      <x:c r="S73" s="24"/>
      <x:c r="T73" s="24"/>
      <x:c r="U73" s="24"/>
      <x:c r="V73" s="83"/>
      <x:c r="W73" s="89"/>
      <x:c r="X73" s="91"/>
      <x:c r="Y73" s="91"/>
      <x:c r="Z73" s="91"/>
      <x:c r="AA73" s="24"/>
      <x:c r="AB73" s="24"/>
      <x:c r="AC73" s="24"/>
      <x:c r="AD73" s="24"/>
      <x:c r="AE73" s="89"/>
      <x:c r="AF73" s="91"/>
      <x:c r="AG73" s="83"/>
      <x:c r="AH73" s="83"/>
      <x:c r="AI73" s="83"/>
      <x:c r="AJ73" s="83"/>
      <x:c r="AK73" s="89"/>
      <x:c r="AL73" s="89"/>
      <x:c r="AM73" s="89"/>
      <x:c r="AN73" s="24"/>
      <x:c r="AO73" s="91"/>
      <x:c r="AP73" s="24"/>
      <x:c r="AQ73" s="24"/>
      <x:c r="AR73" s="91"/>
      <x:c r="AS73" s="89"/>
      <x:c r="AT73" s="92"/>
      <x:c r="AU73" s="27"/>
      <x:c r="AV73" s="27"/>
      <x:c r="AW73" s="27"/>
      <x:c r="AX73" s="93"/>
      <x:c r="AY73" s="27"/>
      <x:c r="AZ73" s="27"/>
      <x:c r="BA73" s="94"/>
      <x:c r="BB73" s="82"/>
      <x:c r="BC73" s="80"/>
      <x:c r="BD73" s="83"/>
    </x:row>
    <x:row r="74">
      <x:c r="A74" s="80"/>
      <x:c r="B74" s="80"/>
      <x:c r="C74" s="25"/>
      <x:c r="D74" s="25"/>
      <x:c r="E74" s="80"/>
      <x:c r="F74" s="24"/>
      <x:c r="G74" s="24"/>
      <x:c r="H74" s="25"/>
      <x:c r="I74" s="80"/>
      <x:c r="J74" s="25"/>
      <x:c r="K74" s="89"/>
      <x:c r="L74" s="83"/>
      <x:c r="M74" s="24"/>
      <x:c r="N74" s="90"/>
      <x:c r="O74" s="90"/>
      <x:c r="P74" s="91"/>
      <x:c r="Q74" s="89"/>
      <x:c r="R74" s="91"/>
      <x:c r="S74" s="24"/>
      <x:c r="T74" s="24"/>
      <x:c r="U74" s="24"/>
      <x:c r="V74" s="83"/>
      <x:c r="W74" s="89"/>
      <x:c r="X74" s="91"/>
      <x:c r="Y74" s="91"/>
      <x:c r="Z74" s="91"/>
      <x:c r="AA74" s="24"/>
      <x:c r="AB74" s="24"/>
      <x:c r="AC74" s="24"/>
      <x:c r="AD74" s="24"/>
      <x:c r="AE74" s="89"/>
      <x:c r="AF74" s="91"/>
      <x:c r="AG74" s="83"/>
      <x:c r="AH74" s="83"/>
      <x:c r="AI74" s="83"/>
      <x:c r="AJ74" s="83"/>
      <x:c r="AK74" s="89"/>
      <x:c r="AL74" s="89"/>
      <x:c r="AM74" s="89"/>
      <x:c r="AN74" s="24"/>
      <x:c r="AO74" s="91"/>
      <x:c r="AP74" s="24"/>
      <x:c r="AQ74" s="24"/>
      <x:c r="AR74" s="91"/>
      <x:c r="AS74" s="89"/>
      <x:c r="AT74" s="92"/>
      <x:c r="AU74" s="27"/>
      <x:c r="AV74" s="27"/>
      <x:c r="AW74" s="27"/>
      <x:c r="AX74" s="93"/>
      <x:c r="AY74" s="27"/>
      <x:c r="AZ74" s="27"/>
      <x:c r="BA74" s="94"/>
      <x:c r="BB74" s="82"/>
      <x:c r="BC74" s="80"/>
      <x:c r="BD74" s="83"/>
    </x:row>
    <x:row r="75">
      <x:c r="A75" s="80"/>
      <x:c r="B75" s="80"/>
      <x:c r="C75" s="25"/>
      <x:c r="D75" s="25"/>
      <x:c r="E75" s="80"/>
      <x:c r="F75" s="24"/>
      <x:c r="G75" s="24"/>
      <x:c r="H75" s="25"/>
      <x:c r="I75" s="80"/>
      <x:c r="J75" s="25"/>
      <x:c r="K75" s="89"/>
      <x:c r="L75" s="83"/>
      <x:c r="M75" s="24"/>
      <x:c r="N75" s="90"/>
      <x:c r="O75" s="90"/>
      <x:c r="P75" s="91"/>
      <x:c r="Q75" s="89"/>
      <x:c r="R75" s="91"/>
      <x:c r="S75" s="24"/>
      <x:c r="T75" s="24"/>
      <x:c r="U75" s="24"/>
      <x:c r="V75" s="83"/>
      <x:c r="W75" s="89"/>
      <x:c r="X75" s="91"/>
      <x:c r="Y75" s="91"/>
      <x:c r="Z75" s="91"/>
      <x:c r="AA75" s="24"/>
      <x:c r="AB75" s="24"/>
      <x:c r="AC75" s="24"/>
      <x:c r="AD75" s="24"/>
      <x:c r="AE75" s="89"/>
      <x:c r="AF75" s="91"/>
      <x:c r="AG75" s="83"/>
      <x:c r="AH75" s="83"/>
      <x:c r="AI75" s="83"/>
      <x:c r="AJ75" s="83"/>
      <x:c r="AK75" s="89"/>
      <x:c r="AL75" s="89"/>
      <x:c r="AM75" s="89"/>
      <x:c r="AN75" s="24"/>
      <x:c r="AO75" s="91"/>
      <x:c r="AP75" s="24"/>
      <x:c r="AQ75" s="24"/>
      <x:c r="AR75" s="91"/>
      <x:c r="AS75" s="89"/>
      <x:c r="AT75" s="92"/>
      <x:c r="AU75" s="27"/>
      <x:c r="AV75" s="27"/>
      <x:c r="AW75" s="27"/>
      <x:c r="AX75" s="93"/>
      <x:c r="AY75" s="27"/>
      <x:c r="AZ75" s="27"/>
      <x:c r="BA75" s="94"/>
      <x:c r="BB75" s="82"/>
      <x:c r="BC75" s="80"/>
      <x:c r="BD75" s="83"/>
    </x:row>
    <x:row r="76">
      <x:c r="A76" s="80"/>
      <x:c r="B76" s="80"/>
      <x:c r="C76" s="25"/>
      <x:c r="D76" s="25"/>
      <x:c r="E76" s="80"/>
      <x:c r="F76" s="24"/>
      <x:c r="G76" s="24"/>
      <x:c r="H76" s="25"/>
      <x:c r="I76" s="80"/>
      <x:c r="J76" s="25"/>
      <x:c r="K76" s="89"/>
      <x:c r="L76" s="83"/>
      <x:c r="M76" s="24"/>
      <x:c r="N76" s="90"/>
      <x:c r="O76" s="90"/>
      <x:c r="P76" s="91"/>
      <x:c r="Q76" s="89"/>
      <x:c r="R76" s="91"/>
      <x:c r="S76" s="24"/>
      <x:c r="T76" s="24"/>
      <x:c r="U76" s="24"/>
      <x:c r="V76" s="83"/>
      <x:c r="W76" s="89"/>
      <x:c r="X76" s="91"/>
      <x:c r="Y76" s="91"/>
      <x:c r="Z76" s="91"/>
      <x:c r="AA76" s="24"/>
      <x:c r="AB76" s="24"/>
      <x:c r="AC76" s="24"/>
      <x:c r="AD76" s="24"/>
      <x:c r="AE76" s="89"/>
      <x:c r="AF76" s="91"/>
      <x:c r="AG76" s="83"/>
      <x:c r="AH76" s="83"/>
      <x:c r="AI76" s="83"/>
      <x:c r="AJ76" s="83"/>
      <x:c r="AK76" s="89"/>
      <x:c r="AL76" s="89"/>
      <x:c r="AM76" s="89"/>
      <x:c r="AN76" s="24"/>
      <x:c r="AO76" s="91"/>
      <x:c r="AP76" s="24"/>
      <x:c r="AQ76" s="24"/>
      <x:c r="AR76" s="91"/>
      <x:c r="AS76" s="89"/>
      <x:c r="AT76" s="92"/>
      <x:c r="AU76" s="27"/>
      <x:c r="AV76" s="27"/>
      <x:c r="AW76" s="27"/>
      <x:c r="AX76" s="93"/>
      <x:c r="AY76" s="27"/>
      <x:c r="AZ76" s="27"/>
      <x:c r="BA76" s="94"/>
      <x:c r="BB76" s="82"/>
      <x:c r="BC76" s="80"/>
      <x:c r="BD76" s="83"/>
    </x:row>
    <x:row r="77">
      <x:c r="A77" s="80"/>
      <x:c r="B77" s="80"/>
      <x:c r="C77" s="25"/>
      <x:c r="D77" s="25"/>
      <x:c r="E77" s="80"/>
      <x:c r="F77" s="24"/>
      <x:c r="G77" s="24"/>
      <x:c r="H77" s="25"/>
      <x:c r="I77" s="80"/>
      <x:c r="J77" s="25"/>
      <x:c r="K77" s="89"/>
      <x:c r="L77" s="83"/>
      <x:c r="M77" s="24"/>
      <x:c r="N77" s="90"/>
      <x:c r="O77" s="90"/>
      <x:c r="P77" s="91"/>
      <x:c r="Q77" s="89"/>
      <x:c r="R77" s="91"/>
      <x:c r="S77" s="24"/>
      <x:c r="T77" s="24"/>
      <x:c r="U77" s="24"/>
      <x:c r="V77" s="83"/>
      <x:c r="W77" s="89"/>
      <x:c r="X77" s="91"/>
      <x:c r="Y77" s="91"/>
      <x:c r="Z77" s="91"/>
      <x:c r="AA77" s="24"/>
      <x:c r="AB77" s="24"/>
      <x:c r="AC77" s="24"/>
      <x:c r="AD77" s="24"/>
      <x:c r="AE77" s="89"/>
      <x:c r="AF77" s="91"/>
      <x:c r="AG77" s="83"/>
      <x:c r="AH77" s="83"/>
      <x:c r="AI77" s="83"/>
      <x:c r="AJ77" s="83"/>
      <x:c r="AK77" s="89"/>
      <x:c r="AL77" s="89"/>
      <x:c r="AM77" s="89"/>
      <x:c r="AN77" s="24"/>
      <x:c r="AO77" s="91"/>
      <x:c r="AP77" s="24"/>
      <x:c r="AQ77" s="24"/>
      <x:c r="AR77" s="91"/>
      <x:c r="AS77" s="89"/>
      <x:c r="AT77" s="92"/>
      <x:c r="AU77" s="27"/>
      <x:c r="AV77" s="27"/>
      <x:c r="AW77" s="27"/>
      <x:c r="AX77" s="93"/>
      <x:c r="AY77" s="27"/>
      <x:c r="AZ77" s="27"/>
      <x:c r="BA77" s="94"/>
      <x:c r="BB77" s="82"/>
      <x:c r="BC77" s="80"/>
      <x:c r="BD77" s="83"/>
    </x:row>
    <x:row r="78">
      <x:c r="A78" s="80"/>
      <x:c r="B78" s="80"/>
      <x:c r="C78" s="25"/>
      <x:c r="D78" s="25"/>
      <x:c r="E78" s="80"/>
      <x:c r="F78" s="24"/>
      <x:c r="G78" s="24"/>
      <x:c r="H78" s="25"/>
      <x:c r="I78" s="80"/>
      <x:c r="J78" s="25"/>
      <x:c r="K78" s="89"/>
      <x:c r="L78" s="83"/>
      <x:c r="M78" s="24"/>
      <x:c r="N78" s="90"/>
      <x:c r="O78" s="90"/>
      <x:c r="P78" s="91"/>
      <x:c r="Q78" s="89"/>
      <x:c r="R78" s="91"/>
      <x:c r="S78" s="24"/>
      <x:c r="T78" s="24"/>
      <x:c r="U78" s="24"/>
      <x:c r="V78" s="83"/>
      <x:c r="W78" s="89"/>
      <x:c r="X78" s="91"/>
      <x:c r="Y78" s="91"/>
      <x:c r="Z78" s="91"/>
      <x:c r="AA78" s="24"/>
      <x:c r="AB78" s="24"/>
      <x:c r="AC78" s="24"/>
      <x:c r="AD78" s="24"/>
      <x:c r="AE78" s="89"/>
      <x:c r="AF78" s="91"/>
      <x:c r="AG78" s="83"/>
      <x:c r="AH78" s="83"/>
      <x:c r="AI78" s="83"/>
      <x:c r="AJ78" s="83"/>
      <x:c r="AK78" s="89"/>
      <x:c r="AL78" s="89"/>
      <x:c r="AM78" s="89"/>
      <x:c r="AN78" s="24"/>
      <x:c r="AO78" s="91"/>
      <x:c r="AP78" s="24"/>
      <x:c r="AQ78" s="24"/>
      <x:c r="AR78" s="91"/>
      <x:c r="AS78" s="89"/>
      <x:c r="AT78" s="92"/>
      <x:c r="AU78" s="27"/>
      <x:c r="AV78" s="27"/>
      <x:c r="AW78" s="27"/>
      <x:c r="AX78" s="93"/>
      <x:c r="AY78" s="27"/>
      <x:c r="AZ78" s="27"/>
      <x:c r="BA78" s="94"/>
      <x:c r="BB78" s="82"/>
      <x:c r="BC78" s="80"/>
      <x:c r="BD78" s="83"/>
    </x:row>
    <x:row r="79">
      <x:c r="A79" s="80"/>
      <x:c r="B79" s="80"/>
      <x:c r="C79" s="25"/>
      <x:c r="D79" s="25"/>
      <x:c r="E79" s="80"/>
      <x:c r="F79" s="24"/>
      <x:c r="G79" s="24"/>
      <x:c r="H79" s="25"/>
      <x:c r="I79" s="80"/>
      <x:c r="J79" s="25"/>
      <x:c r="K79" s="89"/>
      <x:c r="L79" s="83"/>
      <x:c r="M79" s="24"/>
      <x:c r="N79" s="90"/>
      <x:c r="O79" s="90"/>
      <x:c r="P79" s="91"/>
      <x:c r="Q79" s="89"/>
      <x:c r="R79" s="91"/>
      <x:c r="S79" s="24"/>
      <x:c r="T79" s="24"/>
      <x:c r="U79" s="24"/>
      <x:c r="V79" s="83"/>
      <x:c r="W79" s="89"/>
      <x:c r="X79" s="91"/>
      <x:c r="Y79" s="91"/>
      <x:c r="Z79" s="91"/>
      <x:c r="AA79" s="24"/>
      <x:c r="AB79" s="24"/>
      <x:c r="AC79" s="24"/>
      <x:c r="AD79" s="24"/>
      <x:c r="AE79" s="89"/>
      <x:c r="AF79" s="91"/>
      <x:c r="AG79" s="83"/>
      <x:c r="AH79" s="83"/>
      <x:c r="AI79" s="83"/>
      <x:c r="AJ79" s="83"/>
      <x:c r="AK79" s="89"/>
      <x:c r="AL79" s="89"/>
      <x:c r="AM79" s="89"/>
      <x:c r="AN79" s="24"/>
      <x:c r="AO79" s="91"/>
      <x:c r="AP79" s="24"/>
      <x:c r="AQ79" s="24"/>
      <x:c r="AR79" s="91"/>
      <x:c r="AS79" s="89"/>
      <x:c r="AT79" s="92"/>
      <x:c r="AU79" s="27"/>
      <x:c r="AV79" s="27"/>
      <x:c r="AW79" s="27"/>
      <x:c r="AX79" s="93"/>
      <x:c r="AY79" s="27"/>
      <x:c r="AZ79" s="27"/>
      <x:c r="BA79" s="94"/>
      <x:c r="BB79" s="82"/>
      <x:c r="BC79" s="80"/>
      <x:c r="BD79" s="83"/>
    </x:row>
    <x:row r="80">
      <x:c r="A80" s="80"/>
      <x:c r="B80" s="80"/>
      <x:c r="C80" s="25"/>
      <x:c r="D80" s="25"/>
      <x:c r="E80" s="80"/>
      <x:c r="F80" s="24"/>
      <x:c r="G80" s="24"/>
      <x:c r="H80" s="25"/>
      <x:c r="I80" s="80"/>
      <x:c r="J80" s="25"/>
      <x:c r="K80" s="89"/>
      <x:c r="L80" s="83"/>
      <x:c r="M80" s="24"/>
      <x:c r="N80" s="90"/>
      <x:c r="O80" s="90"/>
      <x:c r="P80" s="91"/>
      <x:c r="Q80" s="89"/>
      <x:c r="R80" s="91"/>
      <x:c r="S80" s="24"/>
      <x:c r="T80" s="24"/>
      <x:c r="U80" s="24"/>
      <x:c r="V80" s="83"/>
      <x:c r="W80" s="89"/>
      <x:c r="X80" s="91"/>
      <x:c r="Y80" s="91"/>
      <x:c r="Z80" s="91"/>
      <x:c r="AA80" s="24"/>
      <x:c r="AB80" s="24"/>
      <x:c r="AC80" s="24"/>
      <x:c r="AD80" s="24"/>
      <x:c r="AE80" s="89"/>
      <x:c r="AF80" s="91"/>
      <x:c r="AG80" s="83"/>
      <x:c r="AH80" s="83"/>
      <x:c r="AI80" s="83"/>
      <x:c r="AJ80" s="83"/>
      <x:c r="AK80" s="89"/>
      <x:c r="AL80" s="89"/>
      <x:c r="AM80" s="89"/>
      <x:c r="AN80" s="24"/>
      <x:c r="AO80" s="91"/>
      <x:c r="AP80" s="24"/>
      <x:c r="AQ80" s="24"/>
      <x:c r="AR80" s="91"/>
      <x:c r="AS80" s="89"/>
      <x:c r="AT80" s="92"/>
      <x:c r="AU80" s="27"/>
      <x:c r="AV80" s="27"/>
      <x:c r="AW80" s="27"/>
      <x:c r="AX80" s="93"/>
      <x:c r="AY80" s="27"/>
      <x:c r="AZ80" s="27"/>
      <x:c r="BA80" s="94"/>
      <x:c r="BB80" s="82"/>
      <x:c r="BC80" s="80"/>
      <x:c r="BD80" s="83"/>
    </x:row>
    <x:row r="81">
      <x:c r="A81" s="80"/>
      <x:c r="B81" s="80"/>
      <x:c r="C81" s="25"/>
      <x:c r="D81" s="25"/>
      <x:c r="E81" s="80"/>
      <x:c r="F81" s="24"/>
      <x:c r="G81" s="24"/>
      <x:c r="H81" s="25"/>
      <x:c r="I81" s="80"/>
      <x:c r="J81" s="25"/>
      <x:c r="K81" s="89"/>
      <x:c r="L81" s="83"/>
      <x:c r="M81" s="24"/>
      <x:c r="N81" s="90"/>
      <x:c r="O81" s="90"/>
      <x:c r="P81" s="91"/>
      <x:c r="Q81" s="89"/>
      <x:c r="R81" s="91"/>
      <x:c r="S81" s="24"/>
      <x:c r="T81" s="24"/>
      <x:c r="U81" s="24"/>
      <x:c r="V81" s="83"/>
      <x:c r="W81" s="89"/>
      <x:c r="X81" s="91"/>
      <x:c r="Y81" s="91"/>
      <x:c r="Z81" s="91"/>
      <x:c r="AA81" s="24"/>
      <x:c r="AB81" s="24"/>
      <x:c r="AC81" s="24"/>
      <x:c r="AD81" s="24"/>
      <x:c r="AE81" s="89"/>
      <x:c r="AF81" s="91"/>
      <x:c r="AG81" s="83"/>
      <x:c r="AH81" s="83"/>
      <x:c r="AI81" s="83"/>
      <x:c r="AJ81" s="83"/>
      <x:c r="AK81" s="89"/>
      <x:c r="AL81" s="89"/>
      <x:c r="AM81" s="89"/>
      <x:c r="AN81" s="24"/>
      <x:c r="AO81" s="91"/>
      <x:c r="AP81" s="24"/>
      <x:c r="AQ81" s="24"/>
      <x:c r="AR81" s="91"/>
      <x:c r="AS81" s="89"/>
      <x:c r="AT81" s="92"/>
      <x:c r="AU81" s="27"/>
      <x:c r="AV81" s="27"/>
      <x:c r="AW81" s="27"/>
      <x:c r="AX81" s="93"/>
      <x:c r="AY81" s="27"/>
      <x:c r="AZ81" s="27"/>
      <x:c r="BA81" s="94"/>
      <x:c r="BB81" s="82"/>
      <x:c r="BC81" s="80"/>
      <x:c r="BD81" s="83"/>
    </x:row>
    <x:row r="82">
      <x:c r="A82" s="80"/>
      <x:c r="B82" s="80"/>
      <x:c r="C82" s="25"/>
      <x:c r="D82" s="25"/>
      <x:c r="E82" s="80"/>
      <x:c r="F82" s="24"/>
      <x:c r="G82" s="24"/>
      <x:c r="H82" s="25"/>
      <x:c r="I82" s="80"/>
      <x:c r="J82" s="25"/>
      <x:c r="K82" s="89"/>
      <x:c r="L82" s="83"/>
      <x:c r="M82" s="24"/>
      <x:c r="N82" s="90"/>
      <x:c r="O82" s="90"/>
      <x:c r="P82" s="91"/>
      <x:c r="Q82" s="89"/>
      <x:c r="R82" s="91"/>
      <x:c r="S82" s="24"/>
      <x:c r="T82" s="24"/>
      <x:c r="U82" s="24"/>
      <x:c r="V82" s="83"/>
      <x:c r="W82" s="89"/>
      <x:c r="X82" s="91"/>
      <x:c r="Y82" s="91"/>
      <x:c r="Z82" s="91"/>
      <x:c r="AA82" s="24"/>
      <x:c r="AB82" s="24"/>
      <x:c r="AC82" s="24"/>
      <x:c r="AD82" s="24"/>
      <x:c r="AE82" s="89"/>
      <x:c r="AF82" s="91"/>
      <x:c r="AG82" s="83"/>
      <x:c r="AH82" s="83"/>
      <x:c r="AI82" s="83"/>
      <x:c r="AJ82" s="83"/>
      <x:c r="AK82" s="89"/>
      <x:c r="AL82" s="89"/>
      <x:c r="AM82" s="89"/>
      <x:c r="AN82" s="24"/>
      <x:c r="AO82" s="91"/>
      <x:c r="AP82" s="24"/>
      <x:c r="AQ82" s="24"/>
      <x:c r="AR82" s="91"/>
      <x:c r="AS82" s="89"/>
      <x:c r="AT82" s="92"/>
      <x:c r="AU82" s="27"/>
      <x:c r="AV82" s="27"/>
      <x:c r="AW82" s="27"/>
      <x:c r="AX82" s="93"/>
      <x:c r="AY82" s="27"/>
      <x:c r="AZ82" s="27"/>
      <x:c r="BA82" s="94"/>
      <x:c r="BB82" s="82"/>
      <x:c r="BC82" s="80"/>
      <x:c r="BD82" s="83"/>
    </x:row>
    <x:row r="83">
      <x:c r="A83" s="80"/>
      <x:c r="B83" s="80"/>
      <x:c r="C83" s="25"/>
      <x:c r="D83" s="25"/>
      <x:c r="E83" s="80"/>
      <x:c r="F83" s="24"/>
      <x:c r="G83" s="24"/>
      <x:c r="H83" s="25"/>
      <x:c r="I83" s="80"/>
      <x:c r="J83" s="25"/>
      <x:c r="K83" s="89"/>
      <x:c r="L83" s="83"/>
      <x:c r="M83" s="24"/>
      <x:c r="N83" s="90"/>
      <x:c r="O83" s="90"/>
      <x:c r="P83" s="91"/>
      <x:c r="Q83" s="89"/>
      <x:c r="R83" s="91"/>
      <x:c r="S83" s="24"/>
      <x:c r="T83" s="24"/>
      <x:c r="U83" s="24"/>
      <x:c r="V83" s="83"/>
      <x:c r="W83" s="89"/>
      <x:c r="X83" s="91"/>
      <x:c r="Y83" s="91"/>
      <x:c r="Z83" s="91"/>
      <x:c r="AA83" s="24"/>
      <x:c r="AB83" s="24"/>
      <x:c r="AC83" s="24"/>
      <x:c r="AD83" s="24"/>
      <x:c r="AE83" s="89"/>
      <x:c r="AF83" s="91"/>
      <x:c r="AG83" s="83"/>
      <x:c r="AH83" s="83"/>
      <x:c r="AI83" s="83"/>
      <x:c r="AJ83" s="83"/>
      <x:c r="AK83" s="89"/>
      <x:c r="AL83" s="89"/>
      <x:c r="AM83" s="89"/>
      <x:c r="AN83" s="24"/>
      <x:c r="AO83" s="91"/>
      <x:c r="AP83" s="24"/>
      <x:c r="AQ83" s="24"/>
      <x:c r="AR83" s="91"/>
      <x:c r="AS83" s="89"/>
      <x:c r="AT83" s="92"/>
      <x:c r="AU83" s="27"/>
      <x:c r="AV83" s="27"/>
      <x:c r="AW83" s="27"/>
      <x:c r="AX83" s="93"/>
      <x:c r="AY83" s="27"/>
      <x:c r="AZ83" s="27"/>
      <x:c r="BA83" s="94"/>
      <x:c r="BB83" s="82"/>
      <x:c r="BC83" s="80"/>
      <x:c r="BD83" s="83"/>
    </x:row>
    <x:row r="84">
      <x:c r="A84" s="80"/>
      <x:c r="B84" s="80"/>
      <x:c r="C84" s="25"/>
      <x:c r="D84" s="25"/>
      <x:c r="E84" s="80"/>
      <x:c r="F84" s="24"/>
      <x:c r="G84" s="24"/>
      <x:c r="H84" s="25"/>
      <x:c r="I84" s="80"/>
      <x:c r="J84" s="25"/>
      <x:c r="K84" s="89"/>
      <x:c r="L84" s="83"/>
      <x:c r="M84" s="24"/>
      <x:c r="N84" s="90"/>
      <x:c r="O84" s="90"/>
      <x:c r="P84" s="91"/>
      <x:c r="Q84" s="89"/>
      <x:c r="R84" s="91"/>
      <x:c r="S84" s="24"/>
      <x:c r="T84" s="24"/>
      <x:c r="U84" s="24"/>
      <x:c r="V84" s="83"/>
      <x:c r="W84" s="89"/>
      <x:c r="X84" s="91"/>
      <x:c r="Y84" s="91"/>
      <x:c r="Z84" s="91"/>
      <x:c r="AA84" s="24"/>
      <x:c r="AB84" s="24"/>
      <x:c r="AC84" s="24"/>
      <x:c r="AD84" s="24"/>
      <x:c r="AE84" s="89"/>
      <x:c r="AF84" s="91"/>
      <x:c r="AG84" s="83"/>
      <x:c r="AH84" s="83"/>
      <x:c r="AI84" s="83"/>
      <x:c r="AJ84" s="83"/>
      <x:c r="AK84" s="89"/>
      <x:c r="AL84" s="89"/>
      <x:c r="AM84" s="89"/>
      <x:c r="AN84" s="24"/>
      <x:c r="AO84" s="91"/>
      <x:c r="AP84" s="24"/>
      <x:c r="AQ84" s="24"/>
      <x:c r="AR84" s="91"/>
      <x:c r="AS84" s="89"/>
      <x:c r="AT84" s="92"/>
      <x:c r="AU84" s="27"/>
      <x:c r="AV84" s="27"/>
      <x:c r="AW84" s="27"/>
      <x:c r="AX84" s="93"/>
      <x:c r="AY84" s="27"/>
      <x:c r="AZ84" s="27"/>
      <x:c r="BA84" s="94"/>
      <x:c r="BB84" s="82"/>
      <x:c r="BC84" s="80"/>
      <x:c r="BD84" s="83"/>
    </x:row>
    <x:row r="85">
      <x:c r="A85" s="80"/>
      <x:c r="B85" s="80"/>
      <x:c r="C85" s="25"/>
      <x:c r="D85" s="25"/>
      <x:c r="E85" s="80"/>
      <x:c r="F85" s="24"/>
      <x:c r="G85" s="24"/>
      <x:c r="H85" s="25"/>
      <x:c r="I85" s="80"/>
      <x:c r="J85" s="25"/>
      <x:c r="K85" s="89"/>
      <x:c r="L85" s="83"/>
      <x:c r="M85" s="24"/>
      <x:c r="N85" s="90"/>
      <x:c r="O85" s="90"/>
      <x:c r="P85" s="91"/>
      <x:c r="Q85" s="89"/>
      <x:c r="R85" s="91"/>
      <x:c r="S85" s="24"/>
      <x:c r="T85" s="24"/>
      <x:c r="U85" s="24"/>
      <x:c r="V85" s="83"/>
      <x:c r="W85" s="89"/>
      <x:c r="X85" s="91"/>
      <x:c r="Y85" s="91"/>
      <x:c r="Z85" s="91"/>
      <x:c r="AA85" s="24"/>
      <x:c r="AB85" s="24"/>
      <x:c r="AC85" s="24"/>
      <x:c r="AD85" s="24"/>
      <x:c r="AE85" s="89"/>
      <x:c r="AF85" s="91"/>
      <x:c r="AG85" s="83"/>
      <x:c r="AH85" s="83"/>
      <x:c r="AI85" s="83"/>
      <x:c r="AJ85" s="83"/>
      <x:c r="AK85" s="89"/>
      <x:c r="AL85" s="89"/>
      <x:c r="AM85" s="89"/>
      <x:c r="AN85" s="24"/>
      <x:c r="AO85" s="91"/>
      <x:c r="AP85" s="24"/>
      <x:c r="AQ85" s="24"/>
      <x:c r="AR85" s="91"/>
      <x:c r="AS85" s="89"/>
      <x:c r="AT85" s="92"/>
      <x:c r="AU85" s="27"/>
      <x:c r="AV85" s="27"/>
      <x:c r="AW85" s="27"/>
      <x:c r="AX85" s="93"/>
      <x:c r="AY85" s="27"/>
      <x:c r="AZ85" s="27"/>
      <x:c r="BA85" s="94"/>
      <x:c r="BB85" s="82"/>
      <x:c r="BC85" s="80"/>
      <x:c r="BD85" s="83"/>
    </x:row>
    <x:row r="86">
      <x:c r="A86" s="80"/>
      <x:c r="B86" s="80"/>
      <x:c r="C86" s="25"/>
      <x:c r="D86" s="25"/>
      <x:c r="E86" s="80"/>
      <x:c r="F86" s="24"/>
      <x:c r="G86" s="24"/>
      <x:c r="H86" s="25"/>
      <x:c r="I86" s="80"/>
      <x:c r="J86" s="25"/>
      <x:c r="K86" s="89"/>
      <x:c r="L86" s="83"/>
      <x:c r="M86" s="24"/>
      <x:c r="N86" s="90"/>
      <x:c r="O86" s="90"/>
      <x:c r="P86" s="91"/>
      <x:c r="Q86" s="89"/>
      <x:c r="R86" s="91"/>
      <x:c r="S86" s="24"/>
      <x:c r="T86" s="24"/>
      <x:c r="U86" s="24"/>
      <x:c r="V86" s="83"/>
      <x:c r="W86" s="89"/>
      <x:c r="X86" s="91"/>
      <x:c r="Y86" s="91"/>
      <x:c r="Z86" s="91"/>
      <x:c r="AA86" s="24"/>
      <x:c r="AB86" s="24"/>
      <x:c r="AC86" s="24"/>
      <x:c r="AD86" s="24"/>
      <x:c r="AE86" s="89"/>
      <x:c r="AF86" s="91"/>
      <x:c r="AG86" s="83"/>
      <x:c r="AH86" s="83"/>
      <x:c r="AI86" s="83"/>
      <x:c r="AJ86" s="83"/>
      <x:c r="AK86" s="89"/>
      <x:c r="AL86" s="89"/>
      <x:c r="AM86" s="89"/>
      <x:c r="AN86" s="24"/>
      <x:c r="AO86" s="91"/>
      <x:c r="AP86" s="24"/>
      <x:c r="AQ86" s="24"/>
      <x:c r="AR86" s="91"/>
      <x:c r="AS86" s="89"/>
      <x:c r="AT86" s="92"/>
      <x:c r="AU86" s="27"/>
      <x:c r="AV86" s="27"/>
      <x:c r="AW86" s="27"/>
      <x:c r="AX86" s="93"/>
      <x:c r="AY86" s="27"/>
      <x:c r="AZ86" s="27"/>
      <x:c r="BA86" s="94"/>
      <x:c r="BB86" s="82"/>
      <x:c r="BC86" s="80"/>
      <x:c r="BD86" s="83"/>
    </x:row>
    <x:row r="87">
      <x:c r="A87" s="80"/>
      <x:c r="B87" s="80"/>
      <x:c r="C87" s="25"/>
      <x:c r="D87" s="25"/>
      <x:c r="E87" s="80"/>
      <x:c r="F87" s="24"/>
      <x:c r="G87" s="24"/>
      <x:c r="H87" s="25"/>
      <x:c r="I87" s="80"/>
      <x:c r="J87" s="25"/>
      <x:c r="K87" s="89"/>
      <x:c r="L87" s="83"/>
      <x:c r="M87" s="24"/>
      <x:c r="N87" s="90"/>
      <x:c r="O87" s="90"/>
      <x:c r="P87" s="91"/>
      <x:c r="Q87" s="89"/>
      <x:c r="R87" s="91"/>
      <x:c r="S87" s="24"/>
      <x:c r="T87" s="24"/>
      <x:c r="U87" s="24"/>
      <x:c r="V87" s="83"/>
      <x:c r="W87" s="89"/>
      <x:c r="X87" s="91"/>
      <x:c r="Y87" s="91"/>
      <x:c r="Z87" s="91"/>
      <x:c r="AA87" s="24"/>
      <x:c r="AB87" s="24"/>
      <x:c r="AC87" s="24"/>
      <x:c r="AD87" s="24"/>
      <x:c r="AE87" s="89"/>
      <x:c r="AF87" s="91"/>
      <x:c r="AG87" s="83"/>
      <x:c r="AH87" s="83"/>
      <x:c r="AI87" s="83"/>
      <x:c r="AJ87" s="83"/>
      <x:c r="AK87" s="89"/>
      <x:c r="AL87" s="89"/>
      <x:c r="AM87" s="89"/>
      <x:c r="AN87" s="24"/>
      <x:c r="AO87" s="91"/>
      <x:c r="AP87" s="24"/>
      <x:c r="AQ87" s="24"/>
      <x:c r="AR87" s="91"/>
      <x:c r="AS87" s="89"/>
      <x:c r="AT87" s="92"/>
      <x:c r="AU87" s="27"/>
      <x:c r="AV87" s="27"/>
      <x:c r="AW87" s="27"/>
      <x:c r="AX87" s="93"/>
      <x:c r="AY87" s="27"/>
      <x:c r="AZ87" s="27"/>
      <x:c r="BA87" s="94"/>
      <x:c r="BB87" s="82"/>
      <x:c r="BC87" s="80"/>
      <x:c r="BD87" s="83"/>
    </x:row>
    <x:row r="88">
      <x:c r="A88" s="80"/>
      <x:c r="B88" s="80"/>
      <x:c r="C88" s="25"/>
      <x:c r="D88" s="25"/>
      <x:c r="E88" s="80"/>
      <x:c r="F88" s="24"/>
      <x:c r="G88" s="24"/>
      <x:c r="H88" s="25"/>
      <x:c r="I88" s="80"/>
      <x:c r="J88" s="25"/>
      <x:c r="K88" s="89"/>
      <x:c r="L88" s="83"/>
      <x:c r="M88" s="24"/>
      <x:c r="N88" s="90"/>
      <x:c r="O88" s="90"/>
      <x:c r="P88" s="91"/>
      <x:c r="Q88" s="89"/>
      <x:c r="R88" s="91"/>
      <x:c r="S88" s="24"/>
      <x:c r="T88" s="24"/>
      <x:c r="U88" s="24"/>
      <x:c r="V88" s="83"/>
      <x:c r="W88" s="89"/>
      <x:c r="X88" s="91"/>
      <x:c r="Y88" s="91"/>
      <x:c r="Z88" s="91"/>
      <x:c r="AA88" s="24"/>
      <x:c r="AB88" s="24"/>
      <x:c r="AC88" s="24"/>
      <x:c r="AD88" s="24"/>
      <x:c r="AE88" s="89"/>
      <x:c r="AF88" s="91"/>
      <x:c r="AG88" s="83"/>
      <x:c r="AH88" s="83"/>
      <x:c r="AI88" s="83"/>
      <x:c r="AJ88" s="83"/>
      <x:c r="AK88" s="89"/>
      <x:c r="AL88" s="89"/>
      <x:c r="AM88" s="89"/>
      <x:c r="AN88" s="24"/>
      <x:c r="AO88" s="91"/>
      <x:c r="AP88" s="24"/>
      <x:c r="AQ88" s="24"/>
      <x:c r="AR88" s="91"/>
      <x:c r="AS88" s="89"/>
      <x:c r="AT88" s="92"/>
      <x:c r="AU88" s="27"/>
      <x:c r="AV88" s="27"/>
      <x:c r="AW88" s="27"/>
      <x:c r="AX88" s="93"/>
      <x:c r="AY88" s="27"/>
      <x:c r="AZ88" s="27"/>
      <x:c r="BA88" s="94"/>
      <x:c r="BB88" s="82"/>
      <x:c r="BC88" s="80"/>
      <x:c r="BD88" s="83"/>
    </x:row>
    <x:row r="89">
      <x:c r="A89" s="80"/>
      <x:c r="B89" s="80"/>
      <x:c r="C89" s="25"/>
      <x:c r="D89" s="25"/>
      <x:c r="E89" s="80"/>
      <x:c r="F89" s="24"/>
      <x:c r="G89" s="24"/>
      <x:c r="H89" s="25"/>
      <x:c r="I89" s="80"/>
      <x:c r="J89" s="25"/>
      <x:c r="K89" s="89"/>
      <x:c r="L89" s="83"/>
      <x:c r="M89" s="24"/>
      <x:c r="N89" s="90"/>
      <x:c r="O89" s="90"/>
      <x:c r="P89" s="91"/>
      <x:c r="Q89" s="89"/>
      <x:c r="R89" s="91"/>
      <x:c r="S89" s="24"/>
      <x:c r="T89" s="24"/>
      <x:c r="U89" s="24"/>
      <x:c r="V89" s="83"/>
      <x:c r="W89" s="89"/>
      <x:c r="X89" s="91"/>
      <x:c r="Y89" s="91"/>
      <x:c r="Z89" s="91"/>
      <x:c r="AA89" s="24"/>
      <x:c r="AB89" s="24"/>
      <x:c r="AC89" s="24"/>
      <x:c r="AD89" s="24"/>
      <x:c r="AE89" s="89"/>
      <x:c r="AF89" s="91"/>
      <x:c r="AG89" s="83"/>
      <x:c r="AH89" s="83"/>
      <x:c r="AI89" s="83"/>
      <x:c r="AJ89" s="83"/>
      <x:c r="AK89" s="89"/>
      <x:c r="AL89" s="89"/>
      <x:c r="AM89" s="89"/>
      <x:c r="AN89" s="24"/>
      <x:c r="AO89" s="91"/>
      <x:c r="AP89" s="24"/>
      <x:c r="AQ89" s="24"/>
      <x:c r="AR89" s="91"/>
      <x:c r="AS89" s="89"/>
      <x:c r="AT89" s="92"/>
      <x:c r="AU89" s="27"/>
      <x:c r="AV89" s="27"/>
      <x:c r="AW89" s="27"/>
      <x:c r="AX89" s="93"/>
      <x:c r="AY89" s="27"/>
      <x:c r="AZ89" s="27"/>
      <x:c r="BA89" s="94"/>
      <x:c r="BB89" s="82"/>
      <x:c r="BC89" s="80"/>
      <x:c r="BD89" s="83"/>
    </x:row>
    <x:row r="90">
      <x:c r="A90" s="80"/>
      <x:c r="B90" s="80"/>
      <x:c r="C90" s="25"/>
      <x:c r="D90" s="25"/>
      <x:c r="E90" s="80"/>
      <x:c r="F90" s="24"/>
      <x:c r="G90" s="24"/>
      <x:c r="H90" s="25"/>
      <x:c r="I90" s="80"/>
      <x:c r="J90" s="25"/>
      <x:c r="K90" s="89"/>
      <x:c r="L90" s="83"/>
      <x:c r="M90" s="24"/>
      <x:c r="N90" s="90"/>
      <x:c r="O90" s="90"/>
      <x:c r="P90" s="91"/>
      <x:c r="Q90" s="89"/>
      <x:c r="R90" s="91"/>
      <x:c r="S90" s="24"/>
      <x:c r="T90" s="24"/>
      <x:c r="U90" s="24"/>
      <x:c r="V90" s="83"/>
      <x:c r="W90" s="89"/>
      <x:c r="X90" s="91"/>
      <x:c r="Y90" s="91"/>
      <x:c r="Z90" s="91"/>
      <x:c r="AA90" s="24"/>
      <x:c r="AB90" s="24"/>
      <x:c r="AC90" s="24"/>
      <x:c r="AD90" s="24"/>
      <x:c r="AE90" s="89"/>
      <x:c r="AF90" s="91"/>
      <x:c r="AG90" s="83"/>
      <x:c r="AH90" s="83"/>
      <x:c r="AI90" s="83"/>
      <x:c r="AJ90" s="83"/>
      <x:c r="AK90" s="89"/>
      <x:c r="AL90" s="89"/>
      <x:c r="AM90" s="89"/>
      <x:c r="AN90" s="24"/>
      <x:c r="AO90" s="91"/>
      <x:c r="AP90" s="24"/>
      <x:c r="AQ90" s="24"/>
      <x:c r="AR90" s="91"/>
      <x:c r="AS90" s="89"/>
      <x:c r="AT90" s="92"/>
      <x:c r="AU90" s="27"/>
      <x:c r="AV90" s="27"/>
      <x:c r="AW90" s="27"/>
      <x:c r="AX90" s="93"/>
      <x:c r="AY90" s="27"/>
      <x:c r="AZ90" s="27"/>
      <x:c r="BA90" s="94"/>
      <x:c r="BB90" s="82"/>
      <x:c r="BC90" s="80"/>
      <x:c r="BD90" s="83"/>
    </x:row>
    <x:row r="91">
      <x:c r="A91" s="80"/>
      <x:c r="B91" s="80"/>
      <x:c r="C91" s="25"/>
      <x:c r="D91" s="25"/>
      <x:c r="E91" s="80"/>
      <x:c r="F91" s="24"/>
      <x:c r="G91" s="24"/>
      <x:c r="H91" s="25"/>
      <x:c r="I91" s="80"/>
      <x:c r="J91" s="25"/>
      <x:c r="K91" s="89"/>
      <x:c r="L91" s="83"/>
      <x:c r="M91" s="24"/>
      <x:c r="N91" s="90"/>
      <x:c r="O91" s="90"/>
      <x:c r="P91" s="91"/>
      <x:c r="Q91" s="89"/>
      <x:c r="R91" s="91"/>
      <x:c r="S91" s="24"/>
      <x:c r="T91" s="24"/>
      <x:c r="U91" s="24"/>
      <x:c r="V91" s="83"/>
      <x:c r="W91" s="89"/>
      <x:c r="X91" s="91"/>
      <x:c r="Y91" s="91"/>
      <x:c r="Z91" s="91"/>
      <x:c r="AA91" s="24"/>
      <x:c r="AB91" s="24"/>
      <x:c r="AC91" s="24"/>
      <x:c r="AD91" s="24"/>
      <x:c r="AE91" s="89"/>
      <x:c r="AF91" s="91"/>
      <x:c r="AG91" s="83"/>
      <x:c r="AH91" s="83"/>
      <x:c r="AI91" s="83"/>
      <x:c r="AJ91" s="83"/>
      <x:c r="AK91" s="89"/>
      <x:c r="AL91" s="89"/>
      <x:c r="AM91" s="89"/>
      <x:c r="AN91" s="24"/>
      <x:c r="AO91" s="91"/>
      <x:c r="AP91" s="24"/>
      <x:c r="AQ91" s="24"/>
      <x:c r="AR91" s="91"/>
      <x:c r="AS91" s="89"/>
      <x:c r="AT91" s="92"/>
      <x:c r="AU91" s="27"/>
      <x:c r="AV91" s="27"/>
      <x:c r="AW91" s="27"/>
      <x:c r="AX91" s="93"/>
      <x:c r="AY91" s="27"/>
      <x:c r="AZ91" s="27"/>
      <x:c r="BA91" s="94"/>
      <x:c r="BB91" s="82"/>
      <x:c r="BC91" s="80"/>
      <x:c r="BD91" s="83"/>
    </x:row>
    <x:row r="92">
      <x:c r="A92" s="80"/>
      <x:c r="B92" s="80"/>
      <x:c r="C92" s="25"/>
      <x:c r="D92" s="25"/>
      <x:c r="E92" s="80"/>
      <x:c r="F92" s="24"/>
      <x:c r="G92" s="24"/>
      <x:c r="H92" s="25"/>
      <x:c r="I92" s="80"/>
      <x:c r="J92" s="25"/>
      <x:c r="K92" s="89"/>
      <x:c r="L92" s="83"/>
      <x:c r="M92" s="24"/>
      <x:c r="N92" s="90"/>
      <x:c r="O92" s="90"/>
      <x:c r="P92" s="91"/>
      <x:c r="Q92" s="89"/>
      <x:c r="R92" s="91"/>
      <x:c r="S92" s="24"/>
      <x:c r="T92" s="24"/>
      <x:c r="U92" s="24"/>
      <x:c r="V92" s="83"/>
      <x:c r="W92" s="89"/>
      <x:c r="X92" s="91"/>
      <x:c r="Y92" s="91"/>
      <x:c r="Z92" s="91"/>
      <x:c r="AA92" s="24"/>
      <x:c r="AB92" s="24"/>
      <x:c r="AC92" s="24"/>
      <x:c r="AD92" s="24"/>
      <x:c r="AE92" s="89"/>
      <x:c r="AF92" s="91"/>
      <x:c r="AG92" s="83"/>
      <x:c r="AH92" s="83"/>
      <x:c r="AI92" s="83"/>
      <x:c r="AJ92" s="83"/>
      <x:c r="AK92" s="89"/>
      <x:c r="AL92" s="89"/>
      <x:c r="AM92" s="89"/>
      <x:c r="AN92" s="24"/>
      <x:c r="AO92" s="91"/>
      <x:c r="AP92" s="24"/>
      <x:c r="AQ92" s="24"/>
      <x:c r="AR92" s="91"/>
      <x:c r="AS92" s="89"/>
      <x:c r="AT92" s="92"/>
      <x:c r="AU92" s="27"/>
      <x:c r="AV92" s="27"/>
      <x:c r="AW92" s="27"/>
      <x:c r="AX92" s="93"/>
      <x:c r="AY92" s="27"/>
      <x:c r="AZ92" s="27"/>
      <x:c r="BA92" s="94"/>
      <x:c r="BB92" s="82"/>
      <x:c r="BC92" s="80"/>
      <x:c r="BD92" s="83"/>
    </x:row>
    <x:row r="93">
      <x:c r="A93" s="80"/>
      <x:c r="B93" s="80"/>
      <x:c r="C93" s="25"/>
      <x:c r="D93" s="25"/>
      <x:c r="E93" s="80"/>
      <x:c r="F93" s="24"/>
      <x:c r="G93" s="24"/>
      <x:c r="H93" s="25"/>
      <x:c r="I93" s="80"/>
      <x:c r="J93" s="25"/>
      <x:c r="K93" s="89"/>
      <x:c r="L93" s="83"/>
      <x:c r="M93" s="24"/>
      <x:c r="N93" s="90"/>
      <x:c r="O93" s="90"/>
      <x:c r="P93" s="91"/>
      <x:c r="Q93" s="89"/>
      <x:c r="R93" s="91"/>
      <x:c r="S93" s="24"/>
      <x:c r="T93" s="24"/>
      <x:c r="U93" s="24"/>
      <x:c r="V93" s="83"/>
      <x:c r="W93" s="89"/>
      <x:c r="X93" s="91"/>
      <x:c r="Y93" s="91"/>
      <x:c r="Z93" s="91"/>
      <x:c r="AA93" s="24"/>
      <x:c r="AB93" s="24"/>
      <x:c r="AC93" s="24"/>
      <x:c r="AD93" s="24"/>
      <x:c r="AE93" s="89"/>
      <x:c r="AF93" s="91"/>
      <x:c r="AG93" s="83"/>
      <x:c r="AH93" s="83"/>
      <x:c r="AI93" s="83"/>
      <x:c r="AJ93" s="83"/>
      <x:c r="AK93" s="89"/>
      <x:c r="AL93" s="89"/>
      <x:c r="AM93" s="89"/>
      <x:c r="AN93" s="24"/>
      <x:c r="AO93" s="91"/>
      <x:c r="AP93" s="24"/>
      <x:c r="AQ93" s="24"/>
      <x:c r="AR93" s="91"/>
      <x:c r="AS93" s="89"/>
      <x:c r="AT93" s="92"/>
      <x:c r="AU93" s="27"/>
      <x:c r="AV93" s="27"/>
      <x:c r="AW93" s="27"/>
      <x:c r="AX93" s="93"/>
      <x:c r="AY93" s="27"/>
      <x:c r="AZ93" s="27"/>
      <x:c r="BA93" s="94"/>
      <x:c r="BB93" s="82"/>
      <x:c r="BC93" s="80"/>
      <x:c r="BD93" s="83"/>
    </x:row>
    <x:row r="94">
      <x:c r="A94" s="80"/>
      <x:c r="B94" s="80"/>
      <x:c r="C94" s="25"/>
      <x:c r="D94" s="25"/>
      <x:c r="E94" s="80"/>
      <x:c r="F94" s="24"/>
      <x:c r="G94" s="24"/>
      <x:c r="H94" s="25"/>
      <x:c r="I94" s="80"/>
      <x:c r="J94" s="25"/>
      <x:c r="K94" s="89"/>
      <x:c r="L94" s="83"/>
      <x:c r="M94" s="24"/>
      <x:c r="N94" s="90"/>
      <x:c r="O94" s="90"/>
      <x:c r="P94" s="91"/>
      <x:c r="Q94" s="89"/>
      <x:c r="R94" s="91"/>
      <x:c r="S94" s="24"/>
      <x:c r="T94" s="24"/>
      <x:c r="U94" s="24"/>
      <x:c r="V94" s="83"/>
      <x:c r="W94" s="89"/>
      <x:c r="X94" s="91"/>
      <x:c r="Y94" s="91"/>
      <x:c r="Z94" s="91"/>
      <x:c r="AA94" s="24"/>
      <x:c r="AB94" s="24"/>
      <x:c r="AC94" s="24"/>
      <x:c r="AD94" s="24"/>
      <x:c r="AE94" s="89"/>
      <x:c r="AF94" s="91"/>
      <x:c r="AG94" s="83"/>
      <x:c r="AH94" s="83"/>
      <x:c r="AI94" s="83"/>
      <x:c r="AJ94" s="83"/>
      <x:c r="AK94" s="89"/>
      <x:c r="AL94" s="89"/>
      <x:c r="AM94" s="89"/>
      <x:c r="AN94" s="24"/>
      <x:c r="AO94" s="91"/>
      <x:c r="AP94" s="24"/>
      <x:c r="AQ94" s="24"/>
      <x:c r="AR94" s="91"/>
      <x:c r="AS94" s="89"/>
      <x:c r="AT94" s="92"/>
      <x:c r="AU94" s="27"/>
      <x:c r="AV94" s="27"/>
      <x:c r="AW94" s="27"/>
      <x:c r="AX94" s="93"/>
      <x:c r="AY94" s="27"/>
      <x:c r="AZ94" s="27"/>
      <x:c r="BA94" s="94"/>
      <x:c r="BB94" s="82"/>
      <x:c r="BC94" s="80"/>
      <x:c r="BD94" s="83"/>
    </x:row>
    <x:row r="95">
      <x:c r="A95" s="80"/>
      <x:c r="B95" s="80"/>
      <x:c r="C95" s="25"/>
      <x:c r="D95" s="25"/>
      <x:c r="E95" s="80"/>
      <x:c r="F95" s="24"/>
      <x:c r="G95" s="24"/>
      <x:c r="H95" s="25"/>
      <x:c r="I95" s="80"/>
      <x:c r="J95" s="25"/>
      <x:c r="K95" s="89"/>
      <x:c r="L95" s="83"/>
      <x:c r="M95" s="24"/>
      <x:c r="N95" s="90"/>
      <x:c r="O95" s="90"/>
      <x:c r="P95" s="91"/>
      <x:c r="Q95" s="89"/>
      <x:c r="R95" s="91"/>
      <x:c r="S95" s="24"/>
      <x:c r="T95" s="24"/>
      <x:c r="U95" s="24"/>
      <x:c r="V95" s="83"/>
      <x:c r="W95" s="89"/>
      <x:c r="X95" s="91"/>
      <x:c r="Y95" s="91"/>
      <x:c r="Z95" s="91"/>
      <x:c r="AA95" s="24"/>
      <x:c r="AB95" s="24"/>
      <x:c r="AC95" s="24"/>
      <x:c r="AD95" s="24"/>
      <x:c r="AE95" s="89"/>
      <x:c r="AF95" s="91"/>
      <x:c r="AG95" s="83"/>
      <x:c r="AH95" s="83"/>
      <x:c r="AI95" s="83"/>
      <x:c r="AJ95" s="83"/>
      <x:c r="AK95" s="89"/>
      <x:c r="AL95" s="89"/>
      <x:c r="AM95" s="89"/>
      <x:c r="AN95" s="24"/>
      <x:c r="AO95" s="91"/>
      <x:c r="AP95" s="24"/>
      <x:c r="AQ95" s="24"/>
      <x:c r="AR95" s="91"/>
      <x:c r="AS95" s="89"/>
      <x:c r="AT95" s="92"/>
      <x:c r="AU95" s="27"/>
      <x:c r="AV95" s="27"/>
      <x:c r="AW95" s="27"/>
      <x:c r="AX95" s="93"/>
      <x:c r="AY95" s="27"/>
      <x:c r="AZ95" s="27"/>
      <x:c r="BA95" s="94"/>
      <x:c r="BB95" s="82"/>
      <x:c r="BC95" s="80"/>
      <x:c r="BD95" s="83"/>
    </x:row>
    <x:row r="96">
      <x:c r="A96" s="80"/>
      <x:c r="B96" s="80"/>
      <x:c r="C96" s="25"/>
      <x:c r="D96" s="25"/>
      <x:c r="E96" s="80"/>
      <x:c r="F96" s="24"/>
      <x:c r="G96" s="24"/>
      <x:c r="H96" s="25"/>
      <x:c r="I96" s="80"/>
      <x:c r="J96" s="25"/>
      <x:c r="K96" s="89"/>
      <x:c r="L96" s="83"/>
      <x:c r="M96" s="24"/>
      <x:c r="N96" s="90"/>
      <x:c r="O96" s="90"/>
      <x:c r="P96" s="91"/>
      <x:c r="Q96" s="89"/>
      <x:c r="R96" s="91"/>
      <x:c r="S96" s="24"/>
      <x:c r="T96" s="24"/>
      <x:c r="U96" s="24"/>
      <x:c r="V96" s="83"/>
      <x:c r="W96" s="89"/>
      <x:c r="X96" s="91"/>
      <x:c r="Y96" s="91"/>
      <x:c r="Z96" s="91"/>
      <x:c r="AA96" s="24"/>
      <x:c r="AB96" s="24"/>
      <x:c r="AC96" s="24"/>
      <x:c r="AD96" s="24"/>
      <x:c r="AE96" s="89"/>
      <x:c r="AF96" s="91"/>
      <x:c r="AG96" s="83"/>
      <x:c r="AH96" s="83"/>
      <x:c r="AI96" s="83"/>
      <x:c r="AJ96" s="83"/>
      <x:c r="AK96" s="89"/>
      <x:c r="AL96" s="89"/>
      <x:c r="AM96" s="89"/>
      <x:c r="AN96" s="24"/>
      <x:c r="AO96" s="91"/>
      <x:c r="AP96" s="24"/>
      <x:c r="AQ96" s="24"/>
      <x:c r="AR96" s="91"/>
      <x:c r="AS96" s="89"/>
      <x:c r="AT96" s="92"/>
      <x:c r="AU96" s="27"/>
      <x:c r="AV96" s="27"/>
      <x:c r="AW96" s="27"/>
      <x:c r="AX96" s="93"/>
      <x:c r="AY96" s="27"/>
      <x:c r="AZ96" s="27"/>
      <x:c r="BA96" s="94"/>
      <x:c r="BB96" s="82"/>
      <x:c r="BC96" s="80"/>
      <x:c r="BD96" s="83"/>
    </x:row>
    <x:row r="97">
      <x:c r="A97" s="80"/>
      <x:c r="B97" s="80"/>
      <x:c r="C97" s="25"/>
      <x:c r="D97" s="25"/>
      <x:c r="E97" s="80"/>
      <x:c r="F97" s="24"/>
      <x:c r="G97" s="24"/>
      <x:c r="H97" s="25"/>
      <x:c r="I97" s="80"/>
      <x:c r="J97" s="25"/>
      <x:c r="K97" s="89"/>
      <x:c r="L97" s="83"/>
      <x:c r="M97" s="24"/>
      <x:c r="N97" s="90"/>
      <x:c r="O97" s="90"/>
      <x:c r="P97" s="91"/>
      <x:c r="Q97" s="89"/>
      <x:c r="R97" s="91"/>
      <x:c r="S97" s="24"/>
      <x:c r="T97" s="24"/>
      <x:c r="U97" s="24"/>
      <x:c r="V97" s="83"/>
      <x:c r="W97" s="89"/>
      <x:c r="X97" s="91"/>
      <x:c r="Y97" s="91"/>
      <x:c r="Z97" s="91"/>
      <x:c r="AA97" s="24"/>
      <x:c r="AB97" s="24"/>
      <x:c r="AC97" s="24"/>
      <x:c r="AD97" s="24"/>
      <x:c r="AE97" s="89"/>
      <x:c r="AF97" s="91"/>
      <x:c r="AG97" s="83"/>
      <x:c r="AH97" s="83"/>
      <x:c r="AI97" s="83"/>
      <x:c r="AJ97" s="83"/>
      <x:c r="AK97" s="89"/>
      <x:c r="AL97" s="89"/>
      <x:c r="AM97" s="89"/>
      <x:c r="AN97" s="24"/>
      <x:c r="AO97" s="91"/>
      <x:c r="AP97" s="24"/>
      <x:c r="AQ97" s="24"/>
      <x:c r="AR97" s="91"/>
      <x:c r="AS97" s="89"/>
      <x:c r="AT97" s="92"/>
      <x:c r="AU97" s="27"/>
      <x:c r="AV97" s="27"/>
      <x:c r="AW97" s="27"/>
      <x:c r="AX97" s="93"/>
      <x:c r="AY97" s="27"/>
      <x:c r="AZ97" s="27"/>
      <x:c r="BA97" s="94"/>
      <x:c r="BB97" s="82"/>
      <x:c r="BC97" s="80"/>
      <x:c r="BD97" s="83"/>
    </x:row>
    <x:row r="98">
      <x:c r="A98" s="80"/>
      <x:c r="B98" s="80"/>
      <x:c r="C98" s="25"/>
      <x:c r="D98" s="25"/>
      <x:c r="E98" s="80"/>
      <x:c r="F98" s="24"/>
      <x:c r="G98" s="24"/>
      <x:c r="H98" s="25"/>
      <x:c r="I98" s="80"/>
      <x:c r="J98" s="25"/>
      <x:c r="K98" s="89"/>
      <x:c r="L98" s="83"/>
      <x:c r="M98" s="24"/>
      <x:c r="N98" s="90"/>
      <x:c r="O98" s="90"/>
      <x:c r="P98" s="91"/>
      <x:c r="Q98" s="89"/>
      <x:c r="R98" s="91"/>
      <x:c r="S98" s="24"/>
      <x:c r="T98" s="24"/>
      <x:c r="U98" s="24"/>
      <x:c r="V98" s="83"/>
      <x:c r="W98" s="89"/>
      <x:c r="X98" s="91"/>
      <x:c r="Y98" s="91"/>
      <x:c r="Z98" s="91"/>
      <x:c r="AA98" s="24"/>
      <x:c r="AB98" s="24"/>
      <x:c r="AC98" s="24"/>
      <x:c r="AD98" s="24"/>
      <x:c r="AE98" s="89"/>
      <x:c r="AF98" s="91"/>
      <x:c r="AG98" s="83"/>
      <x:c r="AH98" s="83"/>
      <x:c r="AI98" s="83"/>
      <x:c r="AJ98" s="83"/>
      <x:c r="AK98" s="89"/>
      <x:c r="AL98" s="89"/>
      <x:c r="AM98" s="89"/>
      <x:c r="AN98" s="24"/>
      <x:c r="AO98" s="91"/>
      <x:c r="AP98" s="24"/>
      <x:c r="AQ98" s="24"/>
      <x:c r="AR98" s="91"/>
      <x:c r="AS98" s="89"/>
      <x:c r="AT98" s="92"/>
      <x:c r="AU98" s="27"/>
      <x:c r="AV98" s="27"/>
      <x:c r="AW98" s="27"/>
      <x:c r="AX98" s="93"/>
      <x:c r="AY98" s="27"/>
      <x:c r="AZ98" s="27"/>
      <x:c r="BA98" s="94"/>
      <x:c r="BB98" s="82"/>
      <x:c r="BC98" s="80"/>
      <x:c r="BD98" s="83"/>
    </x:row>
    <x:row r="99">
      <x:c r="A99" s="80"/>
      <x:c r="B99" s="80"/>
      <x:c r="C99" s="25"/>
      <x:c r="D99" s="25"/>
      <x:c r="E99" s="80"/>
      <x:c r="F99" s="24"/>
      <x:c r="G99" s="24"/>
      <x:c r="H99" s="25"/>
      <x:c r="I99" s="80"/>
      <x:c r="J99" s="25"/>
      <x:c r="K99" s="89"/>
      <x:c r="L99" s="83"/>
      <x:c r="M99" s="24"/>
      <x:c r="N99" s="90"/>
      <x:c r="O99" s="90"/>
      <x:c r="P99" s="91"/>
      <x:c r="Q99" s="89"/>
      <x:c r="R99" s="91"/>
      <x:c r="S99" s="24"/>
      <x:c r="T99" s="24"/>
      <x:c r="U99" s="24"/>
      <x:c r="V99" s="83"/>
      <x:c r="W99" s="89"/>
      <x:c r="X99" s="91"/>
      <x:c r="Y99" s="91"/>
      <x:c r="Z99" s="91"/>
      <x:c r="AA99" s="24"/>
      <x:c r="AB99" s="24"/>
      <x:c r="AC99" s="24"/>
      <x:c r="AD99" s="24"/>
      <x:c r="AE99" s="89"/>
      <x:c r="AF99" s="91"/>
      <x:c r="AG99" s="83"/>
      <x:c r="AH99" s="83"/>
      <x:c r="AI99" s="83"/>
      <x:c r="AJ99" s="83"/>
      <x:c r="AK99" s="89"/>
      <x:c r="AL99" s="89"/>
      <x:c r="AM99" s="89"/>
      <x:c r="AN99" s="24"/>
      <x:c r="AO99" s="91"/>
      <x:c r="AP99" s="24"/>
      <x:c r="AQ99" s="24"/>
      <x:c r="AR99" s="91"/>
      <x:c r="AS99" s="89"/>
      <x:c r="AT99" s="92"/>
      <x:c r="AU99" s="27"/>
      <x:c r="AV99" s="27"/>
      <x:c r="AW99" s="27"/>
      <x:c r="AX99" s="93"/>
      <x:c r="AY99" s="27"/>
      <x:c r="AZ99" s="27"/>
      <x:c r="BA99" s="94"/>
      <x:c r="BB99" s="82"/>
      <x:c r="BC99" s="80"/>
      <x:c r="BD99" s="83"/>
    </x:row>
    <x:row r="100">
      <x:c r="A100" s="80"/>
      <x:c r="B100" s="80"/>
      <x:c r="C100" s="25"/>
      <x:c r="D100" s="25"/>
      <x:c r="E100" s="80"/>
      <x:c r="F100" s="24"/>
      <x:c r="G100" s="24"/>
      <x:c r="H100" s="25"/>
      <x:c r="I100" s="80"/>
      <x:c r="J100" s="25"/>
      <x:c r="K100" s="89"/>
      <x:c r="L100" s="83"/>
      <x:c r="M100" s="24"/>
      <x:c r="N100" s="90"/>
      <x:c r="O100" s="90"/>
      <x:c r="P100" s="91"/>
      <x:c r="Q100" s="89"/>
      <x:c r="R100" s="91"/>
      <x:c r="S100" s="24"/>
      <x:c r="T100" s="24"/>
      <x:c r="U100" s="24"/>
      <x:c r="V100" s="83"/>
      <x:c r="W100" s="89"/>
      <x:c r="X100" s="91"/>
      <x:c r="Y100" s="91"/>
      <x:c r="Z100" s="91"/>
      <x:c r="AA100" s="24"/>
      <x:c r="AB100" s="24"/>
      <x:c r="AC100" s="24"/>
      <x:c r="AD100" s="24"/>
      <x:c r="AE100" s="89"/>
      <x:c r="AF100" s="91"/>
      <x:c r="AG100" s="83"/>
      <x:c r="AH100" s="83"/>
      <x:c r="AI100" s="83"/>
      <x:c r="AJ100" s="83"/>
      <x:c r="AK100" s="89"/>
      <x:c r="AL100" s="89"/>
      <x:c r="AM100" s="89"/>
      <x:c r="AN100" s="24"/>
      <x:c r="AO100" s="91"/>
      <x:c r="AP100" s="24"/>
      <x:c r="AQ100" s="24"/>
      <x:c r="AR100" s="91"/>
      <x:c r="AS100" s="89"/>
      <x:c r="AT100" s="92"/>
      <x:c r="AU100" s="27"/>
      <x:c r="AV100" s="27"/>
      <x:c r="AW100" s="27"/>
      <x:c r="AX100" s="93"/>
      <x:c r="AY100" s="27"/>
      <x:c r="AZ100" s="27"/>
      <x:c r="BA100" s="94"/>
      <x:c r="BB100" s="82"/>
      <x:c r="BC100" s="80"/>
      <x:c r="BD100" s="83"/>
    </x:row>
    <x:row r="101">
      <x:c r="A101" s="80"/>
      <x:c r="B101" s="80"/>
      <x:c r="C101" s="25"/>
      <x:c r="D101" s="25"/>
      <x:c r="E101" s="80"/>
      <x:c r="F101" s="24"/>
      <x:c r="G101" s="24"/>
      <x:c r="H101" s="25"/>
      <x:c r="I101" s="80"/>
      <x:c r="J101" s="25"/>
      <x:c r="K101" s="89"/>
      <x:c r="L101" s="83"/>
      <x:c r="M101" s="24"/>
      <x:c r="N101" s="90"/>
      <x:c r="O101" s="90"/>
      <x:c r="P101" s="91"/>
      <x:c r="Q101" s="89"/>
      <x:c r="R101" s="91"/>
      <x:c r="S101" s="24"/>
      <x:c r="T101" s="24"/>
      <x:c r="U101" s="24"/>
      <x:c r="V101" s="83"/>
      <x:c r="W101" s="89"/>
      <x:c r="X101" s="91"/>
      <x:c r="Y101" s="91"/>
      <x:c r="Z101" s="91"/>
      <x:c r="AA101" s="24"/>
      <x:c r="AB101" s="24"/>
      <x:c r="AC101" s="24"/>
      <x:c r="AD101" s="24"/>
      <x:c r="AE101" s="89"/>
      <x:c r="AF101" s="91"/>
      <x:c r="AG101" s="83"/>
      <x:c r="AH101" s="83"/>
      <x:c r="AI101" s="83"/>
      <x:c r="AJ101" s="83"/>
      <x:c r="AK101" s="89"/>
      <x:c r="AL101" s="89"/>
      <x:c r="AM101" s="89"/>
      <x:c r="AN101" s="24"/>
      <x:c r="AO101" s="91"/>
      <x:c r="AP101" s="24"/>
      <x:c r="AQ101" s="24"/>
      <x:c r="AR101" s="91"/>
      <x:c r="AS101" s="89"/>
      <x:c r="AT101" s="92"/>
      <x:c r="AU101" s="27"/>
      <x:c r="AV101" s="27"/>
      <x:c r="AW101" s="27"/>
      <x:c r="AX101" s="93"/>
      <x:c r="AY101" s="27"/>
      <x:c r="AZ101" s="27"/>
      <x:c r="BA101" s="94"/>
      <x:c r="BB101" s="82"/>
      <x:c r="BC101" s="80"/>
      <x:c r="BD101" s="83"/>
    </x:row>
    <x:row r="102">
      <x:c r="A102" s="80"/>
      <x:c r="B102" s="80"/>
      <x:c r="C102" s="25"/>
      <x:c r="D102" s="25"/>
      <x:c r="E102" s="80"/>
      <x:c r="F102" s="24"/>
      <x:c r="G102" s="24"/>
      <x:c r="H102" s="25"/>
      <x:c r="I102" s="80"/>
      <x:c r="J102" s="25"/>
      <x:c r="K102" s="89"/>
      <x:c r="L102" s="83"/>
      <x:c r="M102" s="24"/>
      <x:c r="N102" s="90"/>
      <x:c r="O102" s="90"/>
      <x:c r="P102" s="91"/>
      <x:c r="Q102" s="89"/>
      <x:c r="R102" s="91"/>
      <x:c r="S102" s="24"/>
      <x:c r="T102" s="24"/>
      <x:c r="U102" s="24"/>
      <x:c r="V102" s="83"/>
      <x:c r="W102" s="89"/>
      <x:c r="X102" s="91"/>
      <x:c r="Y102" s="91"/>
      <x:c r="Z102" s="91"/>
      <x:c r="AA102" s="24"/>
      <x:c r="AB102" s="24"/>
      <x:c r="AC102" s="24"/>
      <x:c r="AD102" s="24"/>
      <x:c r="AE102" s="89"/>
      <x:c r="AF102" s="91"/>
      <x:c r="AG102" s="83"/>
      <x:c r="AH102" s="83"/>
      <x:c r="AI102" s="83"/>
      <x:c r="AJ102" s="83"/>
      <x:c r="AK102" s="89"/>
      <x:c r="AL102" s="89"/>
      <x:c r="AM102" s="89"/>
      <x:c r="AN102" s="24"/>
      <x:c r="AO102" s="91"/>
      <x:c r="AP102" s="24"/>
      <x:c r="AQ102" s="24"/>
      <x:c r="AR102" s="91"/>
      <x:c r="AS102" s="89"/>
      <x:c r="AT102" s="92"/>
      <x:c r="AU102" s="27"/>
      <x:c r="AV102" s="27"/>
      <x:c r="AW102" s="27"/>
      <x:c r="AX102" s="93"/>
      <x:c r="AY102" s="27"/>
      <x:c r="AZ102" s="27"/>
      <x:c r="BA102" s="94"/>
      <x:c r="BB102" s="82"/>
      <x:c r="BC102" s="80"/>
      <x:c r="BD102" s="83"/>
    </x:row>
    <x:row r="103">
      <x:c r="A103" s="80"/>
      <x:c r="B103" s="80"/>
      <x:c r="C103" s="25"/>
      <x:c r="D103" s="25"/>
      <x:c r="E103" s="80"/>
      <x:c r="F103" s="24"/>
      <x:c r="G103" s="24"/>
      <x:c r="H103" s="25"/>
      <x:c r="I103" s="80"/>
      <x:c r="J103" s="25"/>
      <x:c r="K103" s="89"/>
      <x:c r="L103" s="83"/>
      <x:c r="M103" s="24"/>
      <x:c r="N103" s="90"/>
      <x:c r="O103" s="90"/>
      <x:c r="P103" s="91"/>
      <x:c r="Q103" s="89"/>
      <x:c r="R103" s="91"/>
      <x:c r="S103" s="24"/>
      <x:c r="T103" s="24"/>
      <x:c r="U103" s="24"/>
      <x:c r="V103" s="83"/>
      <x:c r="W103" s="89"/>
      <x:c r="X103" s="91"/>
      <x:c r="Y103" s="91"/>
      <x:c r="Z103" s="91"/>
      <x:c r="AA103" s="24"/>
      <x:c r="AB103" s="24"/>
      <x:c r="AC103" s="24"/>
      <x:c r="AD103" s="24"/>
      <x:c r="AE103" s="89"/>
      <x:c r="AF103" s="91"/>
      <x:c r="AG103" s="83"/>
      <x:c r="AH103" s="83"/>
      <x:c r="AI103" s="83"/>
      <x:c r="AJ103" s="83"/>
      <x:c r="AK103" s="89"/>
      <x:c r="AL103" s="89"/>
      <x:c r="AM103" s="89"/>
      <x:c r="AN103" s="24"/>
      <x:c r="AO103" s="91"/>
      <x:c r="AP103" s="24"/>
      <x:c r="AQ103" s="24"/>
      <x:c r="AR103" s="91"/>
      <x:c r="AS103" s="89"/>
      <x:c r="AT103" s="92"/>
      <x:c r="AU103" s="27"/>
      <x:c r="AV103" s="27"/>
      <x:c r="AW103" s="27"/>
      <x:c r="AX103" s="93"/>
      <x:c r="AY103" s="27"/>
      <x:c r="AZ103" s="27"/>
      <x:c r="BA103" s="94"/>
      <x:c r="BB103" s="82"/>
      <x:c r="BC103" s="80"/>
      <x:c r="BD103" s="83"/>
    </x:row>
    <x:row r="104">
      <x:c r="A104" s="80"/>
      <x:c r="B104" s="80"/>
      <x:c r="C104" s="25"/>
      <x:c r="D104" s="25"/>
      <x:c r="E104" s="80"/>
      <x:c r="F104" s="24"/>
      <x:c r="G104" s="24"/>
      <x:c r="H104" s="25"/>
      <x:c r="I104" s="80"/>
      <x:c r="J104" s="25"/>
      <x:c r="K104" s="89"/>
      <x:c r="L104" s="83"/>
      <x:c r="M104" s="24"/>
      <x:c r="N104" s="90"/>
      <x:c r="O104" s="90"/>
      <x:c r="P104" s="91"/>
      <x:c r="Q104" s="89"/>
      <x:c r="R104" s="91"/>
      <x:c r="S104" s="24"/>
      <x:c r="T104" s="24"/>
      <x:c r="U104" s="24"/>
      <x:c r="V104" s="83"/>
      <x:c r="W104" s="89"/>
      <x:c r="X104" s="91"/>
      <x:c r="Y104" s="91"/>
      <x:c r="Z104" s="91"/>
      <x:c r="AA104" s="24"/>
      <x:c r="AB104" s="24"/>
      <x:c r="AC104" s="24"/>
      <x:c r="AD104" s="24"/>
      <x:c r="AE104" s="89"/>
      <x:c r="AF104" s="91"/>
      <x:c r="AG104" s="83"/>
      <x:c r="AH104" s="83"/>
      <x:c r="AI104" s="83"/>
      <x:c r="AJ104" s="83"/>
      <x:c r="AK104" s="89"/>
      <x:c r="AL104" s="89"/>
      <x:c r="AM104" s="89"/>
      <x:c r="AN104" s="24"/>
      <x:c r="AO104" s="91"/>
      <x:c r="AP104" s="24"/>
      <x:c r="AQ104" s="24"/>
      <x:c r="AR104" s="91"/>
      <x:c r="AS104" s="89"/>
      <x:c r="AT104" s="92"/>
      <x:c r="AU104" s="27"/>
      <x:c r="AV104" s="27"/>
      <x:c r="AW104" s="27"/>
      <x:c r="AX104" s="93"/>
      <x:c r="AY104" s="27"/>
      <x:c r="AZ104" s="27"/>
      <x:c r="BA104" s="94"/>
      <x:c r="BB104" s="82"/>
      <x:c r="BC104" s="80"/>
      <x:c r="BD104" s="83"/>
    </x:row>
    <x:row r="105">
      <x:c r="A105" s="80"/>
      <x:c r="B105" s="80"/>
      <x:c r="C105" s="25"/>
      <x:c r="D105" s="25"/>
      <x:c r="E105" s="80"/>
      <x:c r="F105" s="24"/>
      <x:c r="G105" s="24"/>
      <x:c r="H105" s="25"/>
      <x:c r="I105" s="80"/>
      <x:c r="J105" s="25"/>
      <x:c r="K105" s="89"/>
      <x:c r="L105" s="83"/>
      <x:c r="M105" s="24"/>
      <x:c r="N105" s="90"/>
      <x:c r="O105" s="90"/>
      <x:c r="P105" s="91"/>
      <x:c r="Q105" s="89"/>
      <x:c r="R105" s="91"/>
      <x:c r="S105" s="24"/>
      <x:c r="T105" s="24"/>
      <x:c r="U105" s="24"/>
      <x:c r="V105" s="83"/>
      <x:c r="W105" s="89"/>
      <x:c r="X105" s="91"/>
      <x:c r="Y105" s="91"/>
      <x:c r="Z105" s="91"/>
      <x:c r="AA105" s="24"/>
      <x:c r="AB105" s="24"/>
      <x:c r="AC105" s="24"/>
      <x:c r="AD105" s="24"/>
      <x:c r="AE105" s="89"/>
      <x:c r="AF105" s="91"/>
      <x:c r="AG105" s="83"/>
      <x:c r="AH105" s="83"/>
      <x:c r="AI105" s="83"/>
      <x:c r="AJ105" s="83"/>
      <x:c r="AK105" s="89"/>
      <x:c r="AL105" s="89"/>
      <x:c r="AM105" s="89"/>
      <x:c r="AN105" s="24"/>
      <x:c r="AO105" s="91"/>
      <x:c r="AP105" s="24"/>
      <x:c r="AQ105" s="24"/>
      <x:c r="AR105" s="91"/>
      <x:c r="AS105" s="89"/>
      <x:c r="AT105" s="92"/>
      <x:c r="AU105" s="27"/>
      <x:c r="AV105" s="27"/>
      <x:c r="AW105" s="27"/>
      <x:c r="AX105" s="93"/>
      <x:c r="AY105" s="27"/>
      <x:c r="AZ105" s="27"/>
      <x:c r="BA105" s="94"/>
      <x:c r="BB105" s="82"/>
      <x:c r="BC105" s="80"/>
      <x:c r="BD105" s="83"/>
    </x:row>
    <x:row r="106">
      <x:c r="A106" s="80"/>
      <x:c r="B106" s="80"/>
      <x:c r="C106" s="25"/>
      <x:c r="D106" s="25"/>
      <x:c r="E106" s="80"/>
      <x:c r="F106" s="24"/>
      <x:c r="G106" s="24"/>
      <x:c r="H106" s="25"/>
      <x:c r="I106" s="80"/>
      <x:c r="J106" s="25"/>
      <x:c r="K106" s="89"/>
      <x:c r="L106" s="83"/>
      <x:c r="M106" s="24"/>
      <x:c r="N106" s="90"/>
      <x:c r="O106" s="90"/>
      <x:c r="P106" s="91"/>
      <x:c r="Q106" s="89"/>
      <x:c r="R106" s="91"/>
      <x:c r="S106" s="24"/>
      <x:c r="T106" s="24"/>
      <x:c r="U106" s="24"/>
      <x:c r="V106" s="83"/>
      <x:c r="W106" s="89"/>
      <x:c r="X106" s="91"/>
      <x:c r="Y106" s="91"/>
      <x:c r="Z106" s="91"/>
      <x:c r="AA106" s="24"/>
      <x:c r="AB106" s="24"/>
      <x:c r="AC106" s="24"/>
      <x:c r="AD106" s="24"/>
      <x:c r="AE106" s="89"/>
      <x:c r="AF106" s="91"/>
      <x:c r="AG106" s="83"/>
      <x:c r="AH106" s="83"/>
      <x:c r="AI106" s="83"/>
      <x:c r="AJ106" s="83"/>
      <x:c r="AK106" s="89"/>
      <x:c r="AL106" s="89"/>
      <x:c r="AM106" s="89"/>
      <x:c r="AN106" s="24"/>
      <x:c r="AO106" s="91"/>
      <x:c r="AP106" s="24"/>
      <x:c r="AQ106" s="24"/>
      <x:c r="AR106" s="91"/>
      <x:c r="AS106" s="89"/>
      <x:c r="AT106" s="92"/>
      <x:c r="AU106" s="27"/>
      <x:c r="AV106" s="27"/>
      <x:c r="AW106" s="27"/>
      <x:c r="AX106" s="93"/>
      <x:c r="AY106" s="27"/>
      <x:c r="AZ106" s="27"/>
      <x:c r="BA106" s="94"/>
      <x:c r="BB106" s="82"/>
      <x:c r="BC106" s="80"/>
      <x:c r="BD106" s="83"/>
    </x:row>
    <x:row r="107">
      <x:c r="A107" s="80"/>
      <x:c r="B107" s="80"/>
      <x:c r="C107" s="25"/>
      <x:c r="D107" s="25"/>
      <x:c r="E107" s="80"/>
      <x:c r="F107" s="24"/>
      <x:c r="G107" s="24"/>
      <x:c r="H107" s="25"/>
      <x:c r="I107" s="80"/>
      <x:c r="J107" s="25"/>
      <x:c r="K107" s="89"/>
      <x:c r="L107" s="83"/>
      <x:c r="M107" s="24"/>
      <x:c r="N107" s="90"/>
      <x:c r="O107" s="90"/>
      <x:c r="P107" s="91"/>
      <x:c r="Q107" s="89"/>
      <x:c r="R107" s="91"/>
      <x:c r="S107" s="24"/>
      <x:c r="T107" s="24"/>
      <x:c r="U107" s="24"/>
      <x:c r="V107" s="83"/>
      <x:c r="W107" s="89"/>
      <x:c r="X107" s="91"/>
      <x:c r="Y107" s="91"/>
      <x:c r="Z107" s="91"/>
      <x:c r="AA107" s="24"/>
      <x:c r="AB107" s="24"/>
      <x:c r="AC107" s="24"/>
      <x:c r="AD107" s="24"/>
      <x:c r="AE107" s="89"/>
      <x:c r="AF107" s="91"/>
      <x:c r="AG107" s="83"/>
      <x:c r="AH107" s="83"/>
      <x:c r="AI107" s="83"/>
      <x:c r="AJ107" s="83"/>
      <x:c r="AK107" s="89"/>
      <x:c r="AL107" s="89"/>
      <x:c r="AM107" s="89"/>
      <x:c r="AN107" s="24"/>
      <x:c r="AO107" s="91"/>
      <x:c r="AP107" s="24"/>
      <x:c r="AQ107" s="24"/>
      <x:c r="AR107" s="91"/>
      <x:c r="AS107" s="89"/>
      <x:c r="AT107" s="92"/>
      <x:c r="AU107" s="27"/>
      <x:c r="AV107" s="27"/>
      <x:c r="AW107" s="27"/>
      <x:c r="AX107" s="93"/>
      <x:c r="AY107" s="27"/>
      <x:c r="AZ107" s="27"/>
      <x:c r="BA107" s="94"/>
      <x:c r="BB107" s="82"/>
      <x:c r="BC107" s="80"/>
      <x:c r="BD107" s="83"/>
    </x:row>
    <x:row r="108">
      <x:c r="A108" s="80"/>
      <x:c r="B108" s="80"/>
      <x:c r="C108" s="25"/>
      <x:c r="D108" s="25"/>
      <x:c r="E108" s="80"/>
      <x:c r="F108" s="24"/>
      <x:c r="G108" s="24"/>
      <x:c r="H108" s="25"/>
      <x:c r="I108" s="80"/>
      <x:c r="J108" s="25"/>
      <x:c r="K108" s="89"/>
      <x:c r="L108" s="83"/>
      <x:c r="M108" s="24"/>
      <x:c r="N108" s="90"/>
      <x:c r="O108" s="90"/>
      <x:c r="P108" s="91"/>
      <x:c r="Q108" s="89"/>
      <x:c r="R108" s="91"/>
      <x:c r="S108" s="24"/>
      <x:c r="T108" s="24"/>
      <x:c r="U108" s="24"/>
      <x:c r="V108" s="83"/>
      <x:c r="W108" s="89"/>
      <x:c r="X108" s="91"/>
      <x:c r="Y108" s="91"/>
      <x:c r="Z108" s="91"/>
      <x:c r="AA108" s="24"/>
      <x:c r="AB108" s="24"/>
      <x:c r="AC108" s="24"/>
      <x:c r="AD108" s="24"/>
      <x:c r="AE108" s="89"/>
      <x:c r="AF108" s="91"/>
      <x:c r="AG108" s="83"/>
      <x:c r="AH108" s="83"/>
      <x:c r="AI108" s="83"/>
      <x:c r="AJ108" s="83"/>
      <x:c r="AK108" s="89"/>
      <x:c r="AL108" s="89"/>
      <x:c r="AM108" s="89"/>
      <x:c r="AN108" s="24"/>
      <x:c r="AO108" s="91"/>
      <x:c r="AP108" s="24"/>
      <x:c r="AQ108" s="24"/>
      <x:c r="AR108" s="91"/>
      <x:c r="AS108" s="89"/>
      <x:c r="AT108" s="92"/>
      <x:c r="AU108" s="27"/>
      <x:c r="AV108" s="27"/>
      <x:c r="AW108" s="27"/>
      <x:c r="AX108" s="93"/>
      <x:c r="AY108" s="27"/>
      <x:c r="AZ108" s="27"/>
      <x:c r="BA108" s="94"/>
      <x:c r="BB108" s="82"/>
      <x:c r="BC108" s="80"/>
      <x:c r="BD108" s="83"/>
    </x:row>
    <x:row r="109">
      <x:c r="A109" s="80"/>
      <x:c r="B109" s="80"/>
      <x:c r="C109" s="25"/>
      <x:c r="D109" s="25"/>
      <x:c r="E109" s="80"/>
      <x:c r="F109" s="24"/>
      <x:c r="G109" s="24"/>
      <x:c r="H109" s="25"/>
      <x:c r="I109" s="80"/>
      <x:c r="J109" s="25"/>
      <x:c r="K109" s="89"/>
      <x:c r="L109" s="83"/>
      <x:c r="M109" s="24"/>
      <x:c r="N109" s="90"/>
      <x:c r="O109" s="90"/>
      <x:c r="P109" s="91"/>
      <x:c r="Q109" s="89"/>
      <x:c r="R109" s="91"/>
      <x:c r="S109" s="24"/>
      <x:c r="T109" s="24"/>
      <x:c r="U109" s="24"/>
      <x:c r="V109" s="83"/>
      <x:c r="W109" s="89"/>
      <x:c r="X109" s="91"/>
      <x:c r="Y109" s="91"/>
      <x:c r="Z109" s="91"/>
      <x:c r="AA109" s="24"/>
      <x:c r="AB109" s="24"/>
      <x:c r="AC109" s="24"/>
      <x:c r="AD109" s="24"/>
      <x:c r="AE109" s="89"/>
      <x:c r="AF109" s="91"/>
      <x:c r="AG109" s="83"/>
      <x:c r="AH109" s="83"/>
      <x:c r="AI109" s="83"/>
      <x:c r="AJ109" s="83"/>
      <x:c r="AK109" s="89"/>
      <x:c r="AL109" s="89"/>
      <x:c r="AM109" s="89"/>
      <x:c r="AN109" s="24"/>
      <x:c r="AO109" s="91"/>
      <x:c r="AP109" s="24"/>
      <x:c r="AQ109" s="24"/>
      <x:c r="AR109" s="91"/>
      <x:c r="AS109" s="89"/>
      <x:c r="AT109" s="92"/>
      <x:c r="AU109" s="27"/>
      <x:c r="AV109" s="27"/>
      <x:c r="AW109" s="27"/>
      <x:c r="AX109" s="93"/>
      <x:c r="AY109" s="27"/>
      <x:c r="AZ109" s="27"/>
      <x:c r="BA109" s="94"/>
      <x:c r="BB109" s="82"/>
      <x:c r="BC109" s="80"/>
      <x:c r="BD109" s="83"/>
    </x:row>
    <x:row r="110">
      <x:c r="A110" s="80"/>
      <x:c r="B110" s="80"/>
      <x:c r="C110" s="25"/>
      <x:c r="D110" s="25"/>
      <x:c r="E110" s="80"/>
      <x:c r="F110" s="24"/>
      <x:c r="G110" s="24"/>
      <x:c r="H110" s="25"/>
      <x:c r="I110" s="80"/>
      <x:c r="J110" s="25"/>
      <x:c r="K110" s="89"/>
      <x:c r="L110" s="83"/>
      <x:c r="M110" s="24"/>
      <x:c r="N110" s="90"/>
      <x:c r="O110" s="90"/>
      <x:c r="P110" s="91"/>
      <x:c r="Q110" s="89"/>
      <x:c r="R110" s="91"/>
      <x:c r="S110" s="24"/>
      <x:c r="T110" s="24"/>
      <x:c r="U110" s="24"/>
      <x:c r="V110" s="83"/>
      <x:c r="W110" s="89"/>
      <x:c r="X110" s="91"/>
      <x:c r="Y110" s="91"/>
      <x:c r="Z110" s="91"/>
      <x:c r="AA110" s="24"/>
      <x:c r="AB110" s="24"/>
      <x:c r="AC110" s="24"/>
      <x:c r="AD110" s="24"/>
      <x:c r="AE110" s="89"/>
      <x:c r="AF110" s="91"/>
      <x:c r="AG110" s="83"/>
      <x:c r="AH110" s="83"/>
      <x:c r="AI110" s="83"/>
      <x:c r="AJ110" s="83"/>
      <x:c r="AK110" s="89"/>
      <x:c r="AL110" s="89"/>
      <x:c r="AM110" s="89"/>
      <x:c r="AN110" s="24"/>
      <x:c r="AO110" s="91"/>
      <x:c r="AP110" s="24"/>
      <x:c r="AQ110" s="24"/>
      <x:c r="AR110" s="91"/>
      <x:c r="AS110" s="89"/>
      <x:c r="AT110" s="92"/>
      <x:c r="AU110" s="27"/>
      <x:c r="AV110" s="27"/>
      <x:c r="AW110" s="27"/>
      <x:c r="AX110" s="93"/>
      <x:c r="AY110" s="27"/>
      <x:c r="AZ110" s="27"/>
      <x:c r="BA110" s="94"/>
      <x:c r="BB110" s="82"/>
      <x:c r="BC110" s="80"/>
      <x:c r="BD110" s="83"/>
    </x:row>
    <x:row r="111">
      <x:c r="A111" s="80"/>
      <x:c r="B111" s="80"/>
      <x:c r="C111" s="25"/>
      <x:c r="D111" s="25"/>
      <x:c r="E111" s="80"/>
      <x:c r="F111" s="24"/>
      <x:c r="G111" s="24"/>
      <x:c r="H111" s="25"/>
      <x:c r="I111" s="80"/>
      <x:c r="J111" s="25"/>
      <x:c r="K111" s="89"/>
      <x:c r="L111" s="83"/>
      <x:c r="M111" s="24"/>
      <x:c r="N111" s="90"/>
      <x:c r="O111" s="90"/>
      <x:c r="P111" s="91"/>
      <x:c r="Q111" s="89"/>
      <x:c r="R111" s="91"/>
      <x:c r="S111" s="24"/>
      <x:c r="T111" s="24"/>
      <x:c r="U111" s="24"/>
      <x:c r="V111" s="83"/>
      <x:c r="W111" s="89"/>
      <x:c r="X111" s="91"/>
      <x:c r="Y111" s="91"/>
      <x:c r="Z111" s="91"/>
      <x:c r="AA111" s="24"/>
      <x:c r="AB111" s="24"/>
      <x:c r="AC111" s="24"/>
      <x:c r="AD111" s="24"/>
      <x:c r="AE111" s="89"/>
      <x:c r="AF111" s="91"/>
      <x:c r="AG111" s="83"/>
      <x:c r="AH111" s="83"/>
      <x:c r="AI111" s="83"/>
      <x:c r="AJ111" s="83"/>
      <x:c r="AK111" s="89"/>
      <x:c r="AL111" s="89"/>
      <x:c r="AM111" s="89"/>
      <x:c r="AN111" s="24"/>
      <x:c r="AO111" s="91"/>
      <x:c r="AP111" s="24"/>
      <x:c r="AQ111" s="24"/>
      <x:c r="AR111" s="91"/>
      <x:c r="AS111" s="89"/>
      <x:c r="AT111" s="92"/>
      <x:c r="AU111" s="27"/>
      <x:c r="AV111" s="27"/>
      <x:c r="AW111" s="27"/>
      <x:c r="AX111" s="93"/>
      <x:c r="AY111" s="27"/>
      <x:c r="AZ111" s="27"/>
      <x:c r="BA111" s="94"/>
      <x:c r="BB111" s="82"/>
      <x:c r="BC111" s="80"/>
      <x:c r="BD111" s="83"/>
    </x:row>
    <x:row r="112">
      <x:c r="A112" s="80"/>
      <x:c r="B112" s="80"/>
      <x:c r="C112" s="25"/>
      <x:c r="D112" s="25"/>
      <x:c r="E112" s="80"/>
      <x:c r="F112" s="24"/>
      <x:c r="G112" s="24"/>
      <x:c r="H112" s="25"/>
      <x:c r="I112" s="80"/>
      <x:c r="J112" s="25"/>
      <x:c r="K112" s="89"/>
      <x:c r="L112" s="83"/>
      <x:c r="M112" s="24"/>
      <x:c r="N112" s="90"/>
      <x:c r="O112" s="90"/>
      <x:c r="P112" s="91"/>
      <x:c r="Q112" s="89"/>
      <x:c r="R112" s="91"/>
      <x:c r="S112" s="24"/>
      <x:c r="T112" s="24"/>
      <x:c r="U112" s="24"/>
      <x:c r="V112" s="83"/>
      <x:c r="W112" s="89"/>
      <x:c r="X112" s="91"/>
      <x:c r="Y112" s="91"/>
      <x:c r="Z112" s="91"/>
      <x:c r="AA112" s="24"/>
      <x:c r="AB112" s="24"/>
      <x:c r="AC112" s="24"/>
      <x:c r="AD112" s="24"/>
      <x:c r="AE112" s="89"/>
      <x:c r="AF112" s="91"/>
      <x:c r="AG112" s="83"/>
      <x:c r="AH112" s="83"/>
      <x:c r="AI112" s="83"/>
      <x:c r="AJ112" s="83"/>
      <x:c r="AK112" s="89"/>
      <x:c r="AL112" s="89"/>
      <x:c r="AM112" s="89"/>
      <x:c r="AN112" s="24"/>
      <x:c r="AO112" s="91"/>
      <x:c r="AP112" s="24"/>
      <x:c r="AQ112" s="24"/>
      <x:c r="AR112" s="91"/>
      <x:c r="AS112" s="89"/>
      <x:c r="AT112" s="92"/>
      <x:c r="AU112" s="27"/>
      <x:c r="AV112" s="27"/>
      <x:c r="AW112" s="27"/>
      <x:c r="AX112" s="93"/>
      <x:c r="AY112" s="27"/>
      <x:c r="AZ112" s="27"/>
      <x:c r="BA112" s="94"/>
      <x:c r="BB112" s="82"/>
      <x:c r="BC112" s="80"/>
      <x:c r="BD112" s="83"/>
    </x:row>
    <x:row r="113">
      <x:c r="A113" s="80"/>
      <x:c r="B113" s="80"/>
      <x:c r="C113" s="25"/>
      <x:c r="D113" s="25"/>
      <x:c r="E113" s="80"/>
      <x:c r="F113" s="24"/>
      <x:c r="G113" s="24"/>
      <x:c r="H113" s="25"/>
      <x:c r="I113" s="80"/>
      <x:c r="J113" s="25"/>
      <x:c r="K113" s="89"/>
      <x:c r="L113" s="83"/>
      <x:c r="M113" s="24"/>
      <x:c r="N113" s="90"/>
      <x:c r="O113" s="90"/>
      <x:c r="P113" s="91"/>
      <x:c r="Q113" s="89"/>
      <x:c r="R113" s="91"/>
      <x:c r="S113" s="24"/>
      <x:c r="T113" s="24"/>
      <x:c r="U113" s="24"/>
      <x:c r="V113" s="83"/>
      <x:c r="W113" s="89"/>
      <x:c r="X113" s="91"/>
      <x:c r="Y113" s="91"/>
      <x:c r="Z113" s="91"/>
      <x:c r="AA113" s="24"/>
      <x:c r="AB113" s="24"/>
      <x:c r="AC113" s="24"/>
      <x:c r="AD113" s="24"/>
      <x:c r="AE113" s="89"/>
      <x:c r="AF113" s="91"/>
      <x:c r="AG113" s="83"/>
      <x:c r="AH113" s="83"/>
      <x:c r="AI113" s="83"/>
      <x:c r="AJ113" s="83"/>
      <x:c r="AK113" s="89"/>
      <x:c r="AL113" s="89"/>
      <x:c r="AM113" s="89"/>
      <x:c r="AN113" s="24"/>
      <x:c r="AO113" s="91"/>
      <x:c r="AP113" s="24"/>
      <x:c r="AQ113" s="24"/>
      <x:c r="AR113" s="91"/>
      <x:c r="AS113" s="89"/>
      <x:c r="AT113" s="92"/>
      <x:c r="AU113" s="27"/>
      <x:c r="AV113" s="27"/>
      <x:c r="AW113" s="27"/>
      <x:c r="AX113" s="93"/>
      <x:c r="AY113" s="27"/>
      <x:c r="AZ113" s="27"/>
      <x:c r="BA113" s="94"/>
      <x:c r="BB113" s="82"/>
      <x:c r="BC113" s="80"/>
      <x:c r="BD113" s="83"/>
    </x:row>
    <x:row r="114">
      <x:c r="A114" s="80"/>
      <x:c r="B114" s="80"/>
      <x:c r="C114" s="25"/>
      <x:c r="D114" s="25"/>
      <x:c r="E114" s="80"/>
      <x:c r="F114" s="24"/>
      <x:c r="G114" s="24"/>
      <x:c r="H114" s="25"/>
      <x:c r="I114" s="80"/>
      <x:c r="J114" s="25"/>
      <x:c r="K114" s="89"/>
      <x:c r="L114" s="83"/>
      <x:c r="M114" s="24"/>
      <x:c r="N114" s="90"/>
      <x:c r="O114" s="90"/>
      <x:c r="P114" s="91"/>
      <x:c r="Q114" s="89"/>
      <x:c r="R114" s="91"/>
      <x:c r="S114" s="24"/>
      <x:c r="T114" s="24"/>
      <x:c r="U114" s="24"/>
      <x:c r="V114" s="83"/>
      <x:c r="W114" s="89"/>
      <x:c r="X114" s="91"/>
      <x:c r="Y114" s="91"/>
      <x:c r="Z114" s="91"/>
      <x:c r="AA114" s="24"/>
      <x:c r="AB114" s="24"/>
      <x:c r="AC114" s="24"/>
      <x:c r="AD114" s="24"/>
      <x:c r="AE114" s="89"/>
      <x:c r="AF114" s="91"/>
      <x:c r="AG114" s="83"/>
      <x:c r="AH114" s="83"/>
      <x:c r="AI114" s="83"/>
      <x:c r="AJ114" s="83"/>
      <x:c r="AK114" s="89"/>
      <x:c r="AL114" s="89"/>
      <x:c r="AM114" s="89"/>
      <x:c r="AN114" s="24"/>
      <x:c r="AO114" s="91"/>
      <x:c r="AP114" s="24"/>
      <x:c r="AQ114" s="24"/>
      <x:c r="AR114" s="91"/>
      <x:c r="AS114" s="89"/>
      <x:c r="AT114" s="92"/>
      <x:c r="AU114" s="27"/>
      <x:c r="AV114" s="27"/>
      <x:c r="AW114" s="27"/>
      <x:c r="AX114" s="93"/>
      <x:c r="AY114" s="27"/>
      <x:c r="AZ114" s="27"/>
      <x:c r="BA114" s="94"/>
      <x:c r="BB114" s="82"/>
      <x:c r="BC114" s="80"/>
      <x:c r="BD114" s="83"/>
    </x:row>
    <x:row r="115">
      <x:c r="A115" s="80"/>
      <x:c r="B115" s="80"/>
      <x:c r="C115" s="25"/>
      <x:c r="D115" s="25"/>
      <x:c r="E115" s="80"/>
      <x:c r="F115" s="24"/>
      <x:c r="G115" s="24"/>
      <x:c r="H115" s="25"/>
      <x:c r="I115" s="80"/>
      <x:c r="J115" s="25"/>
      <x:c r="K115" s="89"/>
      <x:c r="L115" s="83"/>
      <x:c r="M115" s="24"/>
      <x:c r="N115" s="90"/>
      <x:c r="O115" s="90"/>
      <x:c r="P115" s="91"/>
      <x:c r="Q115" s="89"/>
      <x:c r="R115" s="91"/>
      <x:c r="S115" s="24"/>
      <x:c r="T115" s="24"/>
      <x:c r="U115" s="24"/>
      <x:c r="V115" s="83"/>
      <x:c r="W115" s="89"/>
      <x:c r="X115" s="91"/>
      <x:c r="Y115" s="91"/>
      <x:c r="Z115" s="91"/>
      <x:c r="AA115" s="24"/>
      <x:c r="AB115" s="24"/>
      <x:c r="AC115" s="24"/>
      <x:c r="AD115" s="24"/>
      <x:c r="AE115" s="89"/>
      <x:c r="AF115" s="91"/>
      <x:c r="AG115" s="83"/>
      <x:c r="AH115" s="83"/>
      <x:c r="AI115" s="83"/>
      <x:c r="AJ115" s="83"/>
      <x:c r="AK115" s="89"/>
      <x:c r="AL115" s="89"/>
      <x:c r="AM115" s="89"/>
      <x:c r="AN115" s="24"/>
      <x:c r="AO115" s="91"/>
      <x:c r="AP115" s="24"/>
      <x:c r="AQ115" s="24"/>
      <x:c r="AR115" s="91"/>
      <x:c r="AS115" s="89"/>
      <x:c r="AT115" s="92"/>
      <x:c r="AU115" s="27"/>
      <x:c r="AV115" s="27"/>
      <x:c r="AW115" s="27"/>
      <x:c r="AX115" s="93"/>
      <x:c r="AY115" s="27"/>
      <x:c r="AZ115" s="27"/>
      <x:c r="BA115" s="94"/>
      <x:c r="BB115" s="82"/>
      <x:c r="BC115" s="80"/>
      <x:c r="BD115" s="83"/>
    </x:row>
    <x:row r="116">
      <x:c r="A116" s="80"/>
      <x:c r="B116" s="80"/>
      <x:c r="C116" s="25"/>
      <x:c r="D116" s="25"/>
      <x:c r="E116" s="80"/>
      <x:c r="F116" s="24"/>
      <x:c r="G116" s="24"/>
      <x:c r="H116" s="25"/>
      <x:c r="I116" s="80"/>
      <x:c r="J116" s="25"/>
      <x:c r="K116" s="89"/>
      <x:c r="L116" s="83"/>
      <x:c r="M116" s="24"/>
      <x:c r="N116" s="90"/>
      <x:c r="O116" s="90"/>
      <x:c r="P116" s="91"/>
      <x:c r="Q116" s="89"/>
      <x:c r="R116" s="91"/>
      <x:c r="S116" s="24"/>
      <x:c r="T116" s="24"/>
      <x:c r="U116" s="24"/>
      <x:c r="V116" s="83"/>
      <x:c r="W116" s="89"/>
      <x:c r="X116" s="91"/>
      <x:c r="Y116" s="91"/>
      <x:c r="Z116" s="91"/>
      <x:c r="AA116" s="24"/>
      <x:c r="AB116" s="24"/>
      <x:c r="AC116" s="24"/>
      <x:c r="AD116" s="24"/>
      <x:c r="AE116" s="89"/>
      <x:c r="AF116" s="91"/>
      <x:c r="AG116" s="83"/>
      <x:c r="AH116" s="83"/>
      <x:c r="AI116" s="83"/>
      <x:c r="AJ116" s="83"/>
      <x:c r="AK116" s="89"/>
      <x:c r="AL116" s="89"/>
      <x:c r="AM116" s="89"/>
      <x:c r="AN116" s="24"/>
      <x:c r="AO116" s="91"/>
      <x:c r="AP116" s="24"/>
      <x:c r="AQ116" s="24"/>
      <x:c r="AR116" s="91"/>
      <x:c r="AS116" s="89"/>
      <x:c r="AT116" s="92"/>
      <x:c r="AU116" s="27"/>
      <x:c r="AV116" s="27"/>
      <x:c r="AW116" s="27"/>
      <x:c r="AX116" s="93"/>
      <x:c r="AY116" s="27"/>
      <x:c r="AZ116" s="27"/>
      <x:c r="BA116" s="94"/>
      <x:c r="BB116" s="82"/>
      <x:c r="BC116" s="80"/>
      <x:c r="BD116" s="83"/>
    </x:row>
    <x:row r="117">
      <x:c r="A117" s="80"/>
      <x:c r="B117" s="80"/>
      <x:c r="C117" s="25"/>
      <x:c r="D117" s="25"/>
      <x:c r="E117" s="80"/>
      <x:c r="F117" s="24"/>
      <x:c r="G117" s="24"/>
      <x:c r="H117" s="25"/>
      <x:c r="I117" s="80"/>
      <x:c r="J117" s="25"/>
      <x:c r="K117" s="89"/>
      <x:c r="L117" s="83"/>
      <x:c r="M117" s="24"/>
      <x:c r="N117" s="90"/>
      <x:c r="O117" s="90"/>
      <x:c r="P117" s="91"/>
      <x:c r="Q117" s="89"/>
      <x:c r="R117" s="91"/>
      <x:c r="S117" s="24"/>
      <x:c r="T117" s="24"/>
      <x:c r="U117" s="24"/>
      <x:c r="V117" s="83"/>
      <x:c r="W117" s="89"/>
      <x:c r="X117" s="91"/>
      <x:c r="Y117" s="91"/>
      <x:c r="Z117" s="91"/>
      <x:c r="AA117" s="24"/>
      <x:c r="AB117" s="24"/>
      <x:c r="AC117" s="24"/>
      <x:c r="AD117" s="24"/>
      <x:c r="AE117" s="89"/>
      <x:c r="AF117" s="91"/>
      <x:c r="AG117" s="83"/>
      <x:c r="AH117" s="83"/>
      <x:c r="AI117" s="83"/>
      <x:c r="AJ117" s="83"/>
      <x:c r="AK117" s="89"/>
      <x:c r="AL117" s="89"/>
      <x:c r="AM117" s="89"/>
      <x:c r="AN117" s="24"/>
      <x:c r="AO117" s="91"/>
      <x:c r="AP117" s="24"/>
      <x:c r="AQ117" s="24"/>
      <x:c r="AR117" s="91"/>
      <x:c r="AS117" s="89"/>
      <x:c r="AT117" s="92"/>
      <x:c r="AU117" s="27"/>
      <x:c r="AV117" s="27"/>
      <x:c r="AW117" s="27"/>
      <x:c r="AX117" s="93"/>
      <x:c r="AY117" s="27"/>
      <x:c r="AZ117" s="27"/>
      <x:c r="BA117" s="94"/>
      <x:c r="BB117" s="82"/>
      <x:c r="BC117" s="80"/>
      <x:c r="BD117" s="83"/>
    </x:row>
    <x:row r="118">
      <x:c r="A118" s="80"/>
      <x:c r="B118" s="80"/>
      <x:c r="C118" s="25"/>
      <x:c r="D118" s="25"/>
      <x:c r="E118" s="80"/>
      <x:c r="F118" s="24"/>
      <x:c r="G118" s="24"/>
      <x:c r="H118" s="25"/>
      <x:c r="I118" s="80"/>
      <x:c r="J118" s="25"/>
      <x:c r="K118" s="89"/>
      <x:c r="L118" s="83"/>
      <x:c r="M118" s="24"/>
      <x:c r="N118" s="90"/>
      <x:c r="O118" s="90"/>
      <x:c r="P118" s="91"/>
      <x:c r="Q118" s="89"/>
      <x:c r="R118" s="91"/>
      <x:c r="S118" s="24"/>
      <x:c r="T118" s="24"/>
      <x:c r="U118" s="24"/>
      <x:c r="V118" s="83"/>
      <x:c r="W118" s="89"/>
      <x:c r="X118" s="91"/>
      <x:c r="Y118" s="91"/>
      <x:c r="Z118" s="91"/>
      <x:c r="AA118" s="24"/>
      <x:c r="AB118" s="24"/>
      <x:c r="AC118" s="24"/>
      <x:c r="AD118" s="24"/>
      <x:c r="AE118" s="89"/>
      <x:c r="AF118" s="91"/>
      <x:c r="AG118" s="83"/>
      <x:c r="AH118" s="83"/>
      <x:c r="AI118" s="83"/>
      <x:c r="AJ118" s="83"/>
      <x:c r="AK118" s="89"/>
      <x:c r="AL118" s="89"/>
      <x:c r="AM118" s="89"/>
      <x:c r="AN118" s="24"/>
      <x:c r="AO118" s="91"/>
      <x:c r="AP118" s="24"/>
      <x:c r="AQ118" s="24"/>
      <x:c r="AR118" s="91"/>
      <x:c r="AS118" s="89"/>
      <x:c r="AT118" s="92"/>
      <x:c r="AU118" s="27"/>
      <x:c r="AV118" s="27"/>
      <x:c r="AW118" s="27"/>
      <x:c r="AX118" s="93"/>
      <x:c r="AY118" s="27"/>
      <x:c r="AZ118" s="27"/>
      <x:c r="BA118" s="94"/>
      <x:c r="BB118" s="82"/>
      <x:c r="BC118" s="80"/>
      <x:c r="BD118" s="83"/>
    </x:row>
    <x:row r="119">
      <x:c r="A119" s="80"/>
      <x:c r="B119" s="80"/>
      <x:c r="C119" s="25"/>
      <x:c r="D119" s="25"/>
      <x:c r="E119" s="80"/>
      <x:c r="F119" s="24"/>
      <x:c r="G119" s="24"/>
      <x:c r="H119" s="25"/>
      <x:c r="I119" s="80"/>
      <x:c r="J119" s="25"/>
      <x:c r="K119" s="89"/>
      <x:c r="L119" s="83"/>
      <x:c r="M119" s="24"/>
      <x:c r="N119" s="90"/>
      <x:c r="O119" s="90"/>
      <x:c r="P119" s="91"/>
      <x:c r="Q119" s="89"/>
      <x:c r="R119" s="91"/>
      <x:c r="S119" s="24"/>
      <x:c r="T119" s="24"/>
      <x:c r="U119" s="24"/>
      <x:c r="V119" s="83"/>
      <x:c r="W119" s="89"/>
      <x:c r="X119" s="91"/>
      <x:c r="Y119" s="91"/>
      <x:c r="Z119" s="91"/>
      <x:c r="AA119" s="24"/>
      <x:c r="AB119" s="24"/>
      <x:c r="AC119" s="24"/>
      <x:c r="AD119" s="24"/>
      <x:c r="AE119" s="89"/>
      <x:c r="AF119" s="91"/>
      <x:c r="AG119" s="83"/>
      <x:c r="AH119" s="83"/>
      <x:c r="AI119" s="83"/>
      <x:c r="AJ119" s="83"/>
      <x:c r="AK119" s="89"/>
      <x:c r="AL119" s="89"/>
      <x:c r="AM119" s="89"/>
      <x:c r="AN119" s="24"/>
      <x:c r="AO119" s="91"/>
      <x:c r="AP119" s="24"/>
      <x:c r="AQ119" s="24"/>
      <x:c r="AR119" s="91"/>
      <x:c r="AS119" s="89"/>
      <x:c r="AT119" s="92"/>
      <x:c r="AU119" s="27"/>
      <x:c r="AV119" s="27"/>
      <x:c r="AW119" s="27"/>
      <x:c r="AX119" s="93"/>
      <x:c r="AY119" s="27"/>
      <x:c r="AZ119" s="27"/>
      <x:c r="BA119" s="94"/>
      <x:c r="BB119" s="82"/>
      <x:c r="BC119" s="80"/>
      <x:c r="BD119" s="83"/>
    </x:row>
    <x:row r="120">
      <x:c r="A120" s="80"/>
      <x:c r="B120" s="80"/>
      <x:c r="C120" s="25"/>
      <x:c r="D120" s="25"/>
      <x:c r="E120" s="80"/>
      <x:c r="F120" s="24"/>
      <x:c r="G120" s="24"/>
      <x:c r="H120" s="25"/>
      <x:c r="I120" s="80"/>
      <x:c r="J120" s="25"/>
      <x:c r="K120" s="89"/>
      <x:c r="L120" s="83"/>
      <x:c r="M120" s="24"/>
      <x:c r="N120" s="90"/>
      <x:c r="O120" s="90"/>
      <x:c r="P120" s="91"/>
      <x:c r="Q120" s="89"/>
      <x:c r="R120" s="91"/>
      <x:c r="S120" s="24"/>
      <x:c r="T120" s="24"/>
      <x:c r="U120" s="24"/>
      <x:c r="V120" s="83"/>
      <x:c r="W120" s="89"/>
      <x:c r="X120" s="91"/>
      <x:c r="Y120" s="91"/>
      <x:c r="Z120" s="91"/>
      <x:c r="AA120" s="24"/>
      <x:c r="AB120" s="24"/>
      <x:c r="AC120" s="24"/>
      <x:c r="AD120" s="24"/>
      <x:c r="AE120" s="89"/>
      <x:c r="AF120" s="91"/>
      <x:c r="AG120" s="83"/>
      <x:c r="AH120" s="83"/>
      <x:c r="AI120" s="83"/>
      <x:c r="AJ120" s="83"/>
      <x:c r="AK120" s="89"/>
      <x:c r="AL120" s="89"/>
      <x:c r="AM120" s="89"/>
      <x:c r="AN120" s="24"/>
      <x:c r="AO120" s="91"/>
      <x:c r="AP120" s="24"/>
      <x:c r="AQ120" s="24"/>
      <x:c r="AR120" s="91"/>
      <x:c r="AS120" s="89"/>
      <x:c r="AT120" s="92"/>
      <x:c r="AU120" s="27"/>
      <x:c r="AV120" s="27"/>
      <x:c r="AW120" s="27"/>
      <x:c r="AX120" s="93"/>
      <x:c r="AY120" s="27"/>
      <x:c r="AZ120" s="27"/>
      <x:c r="BA120" s="94"/>
      <x:c r="BB120" s="82"/>
      <x:c r="BC120" s="80"/>
      <x:c r="BD120" s="83"/>
    </x:row>
    <x:row r="121">
      <x:c r="A121" s="80"/>
      <x:c r="B121" s="80"/>
      <x:c r="C121" s="25"/>
      <x:c r="D121" s="25"/>
      <x:c r="E121" s="80"/>
      <x:c r="F121" s="24"/>
      <x:c r="G121" s="24"/>
      <x:c r="H121" s="25"/>
      <x:c r="I121" s="80"/>
      <x:c r="J121" s="25"/>
      <x:c r="K121" s="89"/>
      <x:c r="L121" s="83"/>
      <x:c r="M121" s="24"/>
      <x:c r="N121" s="90"/>
      <x:c r="O121" s="90"/>
      <x:c r="P121" s="91"/>
      <x:c r="Q121" s="89"/>
      <x:c r="R121" s="91"/>
      <x:c r="S121" s="24"/>
      <x:c r="T121" s="24"/>
      <x:c r="U121" s="24"/>
      <x:c r="V121" s="83"/>
      <x:c r="W121" s="89"/>
      <x:c r="X121" s="91"/>
      <x:c r="Y121" s="91"/>
      <x:c r="Z121" s="91"/>
      <x:c r="AA121" s="24"/>
      <x:c r="AB121" s="24"/>
      <x:c r="AC121" s="24"/>
      <x:c r="AD121" s="24"/>
      <x:c r="AE121" s="89"/>
      <x:c r="AF121" s="91"/>
      <x:c r="AG121" s="83"/>
      <x:c r="AH121" s="83"/>
      <x:c r="AI121" s="83"/>
      <x:c r="AJ121" s="83"/>
      <x:c r="AK121" s="89"/>
      <x:c r="AL121" s="89"/>
      <x:c r="AM121" s="89"/>
      <x:c r="AN121" s="24"/>
      <x:c r="AO121" s="91"/>
      <x:c r="AP121" s="24"/>
      <x:c r="AQ121" s="24"/>
      <x:c r="AR121" s="91"/>
      <x:c r="AS121" s="89"/>
      <x:c r="AT121" s="92"/>
      <x:c r="AU121" s="27"/>
      <x:c r="AV121" s="27"/>
      <x:c r="AW121" s="27"/>
      <x:c r="AX121" s="93"/>
      <x:c r="AY121" s="27"/>
      <x:c r="AZ121" s="27"/>
      <x:c r="BA121" s="94"/>
      <x:c r="BB121" s="82"/>
      <x:c r="BC121" s="80"/>
      <x:c r="BD121" s="83"/>
    </x:row>
    <x:row r="122">
      <x:c r="A122" s="80"/>
      <x:c r="B122" s="80"/>
      <x:c r="C122" s="25"/>
      <x:c r="D122" s="25"/>
      <x:c r="E122" s="80"/>
      <x:c r="F122" s="24"/>
      <x:c r="G122" s="24"/>
      <x:c r="H122" s="25"/>
      <x:c r="I122" s="80"/>
      <x:c r="J122" s="25"/>
      <x:c r="K122" s="89"/>
      <x:c r="L122" s="83"/>
      <x:c r="M122" s="24"/>
      <x:c r="N122" s="90"/>
      <x:c r="O122" s="90"/>
      <x:c r="P122" s="91"/>
      <x:c r="Q122" s="89"/>
      <x:c r="R122" s="91"/>
      <x:c r="S122" s="24"/>
      <x:c r="T122" s="24"/>
      <x:c r="U122" s="24"/>
      <x:c r="V122" s="83"/>
      <x:c r="W122" s="89"/>
      <x:c r="X122" s="91"/>
      <x:c r="Y122" s="91"/>
      <x:c r="Z122" s="91"/>
      <x:c r="AA122" s="24"/>
      <x:c r="AB122" s="24"/>
      <x:c r="AC122" s="24"/>
      <x:c r="AD122" s="24"/>
      <x:c r="AE122" s="89"/>
      <x:c r="AF122" s="91"/>
      <x:c r="AG122" s="83"/>
      <x:c r="AH122" s="83"/>
      <x:c r="AI122" s="83"/>
      <x:c r="AJ122" s="83"/>
      <x:c r="AK122" s="89"/>
      <x:c r="AL122" s="89"/>
      <x:c r="AM122" s="89"/>
      <x:c r="AN122" s="24"/>
      <x:c r="AO122" s="91"/>
      <x:c r="AP122" s="24"/>
      <x:c r="AQ122" s="24"/>
      <x:c r="AR122" s="91"/>
      <x:c r="AS122" s="89"/>
      <x:c r="AT122" s="92"/>
      <x:c r="AU122" s="27"/>
      <x:c r="AV122" s="27"/>
      <x:c r="AW122" s="27"/>
      <x:c r="AX122" s="93"/>
      <x:c r="AY122" s="27"/>
      <x:c r="AZ122" s="27"/>
      <x:c r="BA122" s="94"/>
      <x:c r="BB122" s="82"/>
      <x:c r="BC122" s="80"/>
      <x:c r="BD122" s="83"/>
    </x:row>
    <x:row r="123">
      <x:c r="A123" s="80"/>
      <x:c r="B123" s="80"/>
      <x:c r="C123" s="25"/>
      <x:c r="D123" s="25"/>
      <x:c r="E123" s="80"/>
      <x:c r="F123" s="24"/>
      <x:c r="G123" s="24"/>
      <x:c r="H123" s="25"/>
      <x:c r="I123" s="80"/>
      <x:c r="J123" s="25"/>
      <x:c r="K123" s="89"/>
      <x:c r="L123" s="83"/>
      <x:c r="M123" s="24"/>
      <x:c r="N123" s="90"/>
      <x:c r="O123" s="90"/>
      <x:c r="P123" s="91"/>
      <x:c r="Q123" s="89"/>
      <x:c r="R123" s="91"/>
      <x:c r="S123" s="24"/>
      <x:c r="T123" s="24"/>
      <x:c r="U123" s="24"/>
      <x:c r="V123" s="83"/>
      <x:c r="W123" s="89"/>
      <x:c r="X123" s="91"/>
      <x:c r="Y123" s="91"/>
      <x:c r="Z123" s="91"/>
      <x:c r="AA123" s="24"/>
      <x:c r="AB123" s="24"/>
      <x:c r="AC123" s="24"/>
      <x:c r="AD123" s="24"/>
      <x:c r="AE123" s="89"/>
      <x:c r="AF123" s="91"/>
      <x:c r="AG123" s="83"/>
      <x:c r="AH123" s="83"/>
      <x:c r="AI123" s="83"/>
      <x:c r="AJ123" s="83"/>
      <x:c r="AK123" s="89"/>
      <x:c r="AL123" s="89"/>
      <x:c r="AM123" s="89"/>
      <x:c r="AN123" s="24"/>
      <x:c r="AO123" s="91"/>
      <x:c r="AP123" s="24"/>
      <x:c r="AQ123" s="24"/>
      <x:c r="AR123" s="91"/>
      <x:c r="AS123" s="89"/>
      <x:c r="AT123" s="92"/>
      <x:c r="AU123" s="27"/>
      <x:c r="AV123" s="27"/>
      <x:c r="AW123" s="27"/>
      <x:c r="AX123" s="93"/>
      <x:c r="AY123" s="27"/>
      <x:c r="AZ123" s="27"/>
      <x:c r="BA123" s="94"/>
      <x:c r="BB123" s="82"/>
      <x:c r="BC123" s="80"/>
      <x:c r="BD123" s="83"/>
    </x:row>
    <x:row r="124">
      <x:c r="A124" s="80"/>
      <x:c r="B124" s="80"/>
      <x:c r="C124" s="25"/>
      <x:c r="D124" s="25"/>
      <x:c r="E124" s="80"/>
      <x:c r="F124" s="24"/>
      <x:c r="G124" s="24"/>
      <x:c r="H124" s="25"/>
      <x:c r="I124" s="80"/>
      <x:c r="J124" s="25"/>
      <x:c r="K124" s="89"/>
      <x:c r="L124" s="83"/>
      <x:c r="M124" s="24"/>
      <x:c r="N124" s="90"/>
      <x:c r="O124" s="90"/>
      <x:c r="P124" s="91"/>
      <x:c r="Q124" s="89"/>
      <x:c r="R124" s="91"/>
      <x:c r="S124" s="24"/>
      <x:c r="T124" s="24"/>
      <x:c r="U124" s="24"/>
      <x:c r="V124" s="83"/>
      <x:c r="W124" s="89"/>
      <x:c r="X124" s="91"/>
      <x:c r="Y124" s="91"/>
      <x:c r="Z124" s="91"/>
      <x:c r="AA124" s="24"/>
      <x:c r="AB124" s="24"/>
      <x:c r="AC124" s="24"/>
      <x:c r="AD124" s="24"/>
      <x:c r="AE124" s="89"/>
      <x:c r="AF124" s="91"/>
      <x:c r="AG124" s="83"/>
      <x:c r="AH124" s="83"/>
      <x:c r="AI124" s="83"/>
      <x:c r="AJ124" s="83"/>
      <x:c r="AK124" s="89"/>
      <x:c r="AL124" s="89"/>
      <x:c r="AM124" s="89"/>
      <x:c r="AN124" s="24"/>
      <x:c r="AO124" s="91"/>
      <x:c r="AP124" s="24"/>
      <x:c r="AQ124" s="24"/>
      <x:c r="AR124" s="91"/>
      <x:c r="AS124" s="89"/>
      <x:c r="AT124" s="92"/>
      <x:c r="AU124" s="27"/>
      <x:c r="AV124" s="27"/>
      <x:c r="AW124" s="27"/>
      <x:c r="AX124" s="93"/>
      <x:c r="AY124" s="27"/>
      <x:c r="AZ124" s="27"/>
      <x:c r="BA124" s="94"/>
      <x:c r="BB124" s="82"/>
      <x:c r="BC124" s="80"/>
      <x:c r="BD124" s="83"/>
    </x:row>
    <x:row r="125">
      <x:c r="A125" s="80"/>
      <x:c r="B125" s="80"/>
      <x:c r="C125" s="25"/>
      <x:c r="D125" s="25"/>
      <x:c r="E125" s="80"/>
      <x:c r="F125" s="24"/>
      <x:c r="G125" s="24"/>
      <x:c r="H125" s="25"/>
      <x:c r="I125" s="80"/>
      <x:c r="J125" s="25"/>
      <x:c r="K125" s="89"/>
      <x:c r="L125" s="83"/>
      <x:c r="M125" s="24"/>
      <x:c r="N125" s="90"/>
      <x:c r="O125" s="90"/>
      <x:c r="P125" s="91"/>
      <x:c r="Q125" s="89"/>
      <x:c r="R125" s="91"/>
      <x:c r="S125" s="24"/>
      <x:c r="T125" s="24"/>
      <x:c r="U125" s="24"/>
      <x:c r="V125" s="83"/>
      <x:c r="W125" s="89"/>
      <x:c r="X125" s="91"/>
      <x:c r="Y125" s="91"/>
      <x:c r="Z125" s="91"/>
      <x:c r="AA125" s="24"/>
      <x:c r="AB125" s="24"/>
      <x:c r="AC125" s="24"/>
      <x:c r="AD125" s="24"/>
      <x:c r="AE125" s="89"/>
      <x:c r="AF125" s="91"/>
      <x:c r="AG125" s="83"/>
      <x:c r="AH125" s="83"/>
      <x:c r="AI125" s="83"/>
      <x:c r="AJ125" s="83"/>
      <x:c r="AK125" s="89"/>
      <x:c r="AL125" s="89"/>
      <x:c r="AM125" s="89"/>
      <x:c r="AN125" s="24"/>
      <x:c r="AO125" s="91"/>
      <x:c r="AP125" s="24"/>
      <x:c r="AQ125" s="24"/>
      <x:c r="AR125" s="91"/>
      <x:c r="AS125" s="89"/>
      <x:c r="AT125" s="92"/>
      <x:c r="AU125" s="27"/>
      <x:c r="AV125" s="27"/>
      <x:c r="AW125" s="27"/>
      <x:c r="AX125" s="93"/>
      <x:c r="AY125" s="27"/>
      <x:c r="AZ125" s="27"/>
      <x:c r="BA125" s="94"/>
      <x:c r="BB125" s="82"/>
      <x:c r="BC125" s="80"/>
      <x:c r="BD125" s="83"/>
    </x:row>
    <x:row r="126">
      <x:c r="A126" s="80"/>
      <x:c r="B126" s="80"/>
      <x:c r="C126" s="25"/>
      <x:c r="D126" s="25"/>
      <x:c r="E126" s="80"/>
      <x:c r="F126" s="24"/>
      <x:c r="G126" s="24"/>
      <x:c r="H126" s="25"/>
      <x:c r="I126" s="80"/>
      <x:c r="J126" s="25"/>
      <x:c r="K126" s="89"/>
      <x:c r="L126" s="83"/>
      <x:c r="M126" s="24"/>
      <x:c r="N126" s="90"/>
      <x:c r="O126" s="90"/>
      <x:c r="P126" s="91"/>
      <x:c r="Q126" s="89"/>
      <x:c r="R126" s="91"/>
      <x:c r="S126" s="24"/>
      <x:c r="T126" s="24"/>
      <x:c r="U126" s="24"/>
      <x:c r="V126" s="83"/>
      <x:c r="W126" s="89"/>
      <x:c r="X126" s="91"/>
      <x:c r="Y126" s="91"/>
      <x:c r="Z126" s="91"/>
      <x:c r="AA126" s="24"/>
      <x:c r="AB126" s="24"/>
      <x:c r="AC126" s="24"/>
      <x:c r="AD126" s="24"/>
      <x:c r="AE126" s="89"/>
      <x:c r="AF126" s="91"/>
      <x:c r="AG126" s="83"/>
      <x:c r="AH126" s="83"/>
      <x:c r="AI126" s="83"/>
      <x:c r="AJ126" s="83"/>
      <x:c r="AK126" s="89"/>
      <x:c r="AL126" s="89"/>
      <x:c r="AM126" s="89"/>
      <x:c r="AN126" s="24"/>
      <x:c r="AO126" s="91"/>
      <x:c r="AP126" s="24"/>
      <x:c r="AQ126" s="24"/>
      <x:c r="AR126" s="91"/>
      <x:c r="AS126" s="89"/>
      <x:c r="AT126" s="92"/>
      <x:c r="AU126" s="27"/>
      <x:c r="AV126" s="27"/>
      <x:c r="AW126" s="27"/>
      <x:c r="AX126" s="93"/>
      <x:c r="AY126" s="27"/>
      <x:c r="AZ126" s="27"/>
      <x:c r="BA126" s="94"/>
      <x:c r="BB126" s="82"/>
      <x:c r="BC126" s="80"/>
      <x:c r="BD126" s="83"/>
    </x:row>
    <x:row r="127">
      <x:c r="A127" s="80"/>
      <x:c r="B127" s="80"/>
      <x:c r="C127" s="25"/>
      <x:c r="D127" s="25"/>
      <x:c r="E127" s="80"/>
      <x:c r="F127" s="24"/>
      <x:c r="G127" s="24"/>
      <x:c r="H127" s="25"/>
      <x:c r="I127" s="80"/>
      <x:c r="J127" s="25"/>
      <x:c r="K127" s="89"/>
      <x:c r="L127" s="83"/>
      <x:c r="M127" s="24"/>
      <x:c r="N127" s="90"/>
      <x:c r="O127" s="90"/>
      <x:c r="P127" s="91"/>
      <x:c r="Q127" s="89"/>
      <x:c r="R127" s="91"/>
      <x:c r="S127" s="24"/>
      <x:c r="T127" s="24"/>
      <x:c r="U127" s="24"/>
      <x:c r="V127" s="83"/>
      <x:c r="W127" s="89"/>
      <x:c r="X127" s="91"/>
      <x:c r="Y127" s="91"/>
      <x:c r="Z127" s="91"/>
      <x:c r="AA127" s="24"/>
      <x:c r="AB127" s="24"/>
      <x:c r="AC127" s="24"/>
      <x:c r="AD127" s="24"/>
      <x:c r="AE127" s="89"/>
      <x:c r="AF127" s="91"/>
      <x:c r="AG127" s="83"/>
      <x:c r="AH127" s="83"/>
      <x:c r="AI127" s="83"/>
      <x:c r="AJ127" s="83"/>
      <x:c r="AK127" s="89"/>
      <x:c r="AL127" s="89"/>
      <x:c r="AM127" s="89"/>
      <x:c r="AN127" s="24"/>
      <x:c r="AO127" s="91"/>
      <x:c r="AP127" s="24"/>
      <x:c r="AQ127" s="24"/>
      <x:c r="AR127" s="91"/>
      <x:c r="AS127" s="89"/>
      <x:c r="AT127" s="92"/>
      <x:c r="AU127" s="27"/>
      <x:c r="AV127" s="27"/>
      <x:c r="AW127" s="27"/>
      <x:c r="AX127" s="93"/>
      <x:c r="AY127" s="27"/>
      <x:c r="AZ127" s="27"/>
      <x:c r="BA127" s="94"/>
      <x:c r="BB127" s="82"/>
      <x:c r="BC127" s="80"/>
      <x:c r="BD127" s="83"/>
    </x:row>
    <x:row r="128">
      <x:c r="A128" s="80"/>
      <x:c r="B128" s="80"/>
      <x:c r="C128" s="25"/>
      <x:c r="D128" s="25"/>
      <x:c r="E128" s="80"/>
      <x:c r="F128" s="24"/>
      <x:c r="G128" s="24"/>
      <x:c r="H128" s="25"/>
      <x:c r="I128" s="80"/>
      <x:c r="J128" s="25"/>
      <x:c r="K128" s="89"/>
      <x:c r="L128" s="83"/>
      <x:c r="M128" s="24"/>
      <x:c r="N128" s="90"/>
      <x:c r="O128" s="90"/>
      <x:c r="P128" s="91"/>
      <x:c r="Q128" s="89"/>
      <x:c r="R128" s="91"/>
      <x:c r="S128" s="24"/>
      <x:c r="T128" s="24"/>
      <x:c r="U128" s="24"/>
      <x:c r="V128" s="83"/>
      <x:c r="W128" s="89"/>
      <x:c r="X128" s="91"/>
      <x:c r="Y128" s="91"/>
      <x:c r="Z128" s="91"/>
      <x:c r="AA128" s="24"/>
      <x:c r="AB128" s="24"/>
      <x:c r="AC128" s="24"/>
      <x:c r="AD128" s="24"/>
      <x:c r="AE128" s="89"/>
      <x:c r="AF128" s="91"/>
      <x:c r="AG128" s="83"/>
      <x:c r="AH128" s="83"/>
      <x:c r="AI128" s="83"/>
      <x:c r="AJ128" s="83"/>
      <x:c r="AK128" s="89"/>
      <x:c r="AL128" s="89"/>
      <x:c r="AM128" s="89"/>
      <x:c r="AN128" s="24"/>
      <x:c r="AO128" s="91"/>
      <x:c r="AP128" s="24"/>
      <x:c r="AQ128" s="24"/>
      <x:c r="AR128" s="91"/>
      <x:c r="AS128" s="89"/>
      <x:c r="AT128" s="92"/>
      <x:c r="AU128" s="27"/>
      <x:c r="AV128" s="27"/>
      <x:c r="AW128" s="27"/>
      <x:c r="AX128" s="93"/>
      <x:c r="AY128" s="27"/>
      <x:c r="AZ128" s="27"/>
      <x:c r="BA128" s="94"/>
      <x:c r="BB128" s="82"/>
      <x:c r="BC128" s="80"/>
      <x:c r="BD128" s="83"/>
    </x:row>
    <x:row r="129">
      <x:c r="A129" s="80"/>
      <x:c r="B129" s="80"/>
      <x:c r="C129" s="25"/>
      <x:c r="D129" s="25"/>
      <x:c r="E129" s="80"/>
      <x:c r="F129" s="24"/>
      <x:c r="G129" s="24"/>
      <x:c r="H129" s="25"/>
      <x:c r="I129" s="80"/>
      <x:c r="J129" s="25"/>
      <x:c r="K129" s="89"/>
      <x:c r="L129" s="83"/>
      <x:c r="M129" s="24"/>
      <x:c r="N129" s="90"/>
      <x:c r="O129" s="90"/>
      <x:c r="P129" s="91"/>
      <x:c r="Q129" s="89"/>
      <x:c r="R129" s="91"/>
      <x:c r="S129" s="24"/>
      <x:c r="T129" s="24"/>
      <x:c r="U129" s="24"/>
      <x:c r="V129" s="83"/>
      <x:c r="W129" s="89"/>
      <x:c r="X129" s="91"/>
      <x:c r="Y129" s="91"/>
      <x:c r="Z129" s="91"/>
      <x:c r="AA129" s="24"/>
      <x:c r="AB129" s="24"/>
      <x:c r="AC129" s="24"/>
      <x:c r="AD129" s="24"/>
      <x:c r="AE129" s="89"/>
      <x:c r="AF129" s="91"/>
      <x:c r="AG129" s="83"/>
      <x:c r="AH129" s="83"/>
      <x:c r="AI129" s="83"/>
      <x:c r="AJ129" s="83"/>
      <x:c r="AK129" s="89"/>
      <x:c r="AL129" s="89"/>
      <x:c r="AM129" s="89"/>
      <x:c r="AN129" s="24"/>
      <x:c r="AO129" s="91"/>
      <x:c r="AP129" s="24"/>
      <x:c r="AQ129" s="24"/>
      <x:c r="AR129" s="91"/>
      <x:c r="AS129" s="89"/>
      <x:c r="AT129" s="92"/>
      <x:c r="AU129" s="27"/>
      <x:c r="AV129" s="27"/>
      <x:c r="AW129" s="27"/>
      <x:c r="AX129" s="93"/>
      <x:c r="AY129" s="27"/>
      <x:c r="AZ129" s="27"/>
      <x:c r="BA129" s="94"/>
      <x:c r="BB129" s="82"/>
      <x:c r="BC129" s="80"/>
      <x:c r="BD129" s="83"/>
    </x:row>
    <x:row r="130">
      <x:c r="A130" s="80"/>
      <x:c r="B130" s="80"/>
      <x:c r="C130" s="25"/>
      <x:c r="D130" s="25"/>
      <x:c r="E130" s="80"/>
      <x:c r="F130" s="24"/>
      <x:c r="G130" s="24"/>
      <x:c r="H130" s="25"/>
      <x:c r="I130" s="80"/>
      <x:c r="J130" s="25"/>
      <x:c r="K130" s="89"/>
      <x:c r="L130" s="83"/>
      <x:c r="M130" s="24"/>
      <x:c r="N130" s="90"/>
      <x:c r="O130" s="90"/>
      <x:c r="P130" s="91"/>
      <x:c r="Q130" s="89"/>
      <x:c r="R130" s="91"/>
      <x:c r="S130" s="24"/>
      <x:c r="T130" s="24"/>
      <x:c r="U130" s="24"/>
      <x:c r="V130" s="83"/>
      <x:c r="W130" s="89"/>
      <x:c r="X130" s="91"/>
      <x:c r="Y130" s="91"/>
      <x:c r="Z130" s="91"/>
      <x:c r="AA130" s="24"/>
      <x:c r="AB130" s="24"/>
      <x:c r="AC130" s="24"/>
      <x:c r="AD130" s="24"/>
      <x:c r="AE130" s="89"/>
      <x:c r="AF130" s="91"/>
      <x:c r="AG130" s="83"/>
      <x:c r="AH130" s="83"/>
      <x:c r="AI130" s="83"/>
      <x:c r="AJ130" s="83"/>
      <x:c r="AK130" s="89"/>
      <x:c r="AL130" s="89"/>
      <x:c r="AM130" s="89"/>
      <x:c r="AN130" s="24"/>
      <x:c r="AO130" s="91"/>
      <x:c r="AP130" s="24"/>
      <x:c r="AQ130" s="24"/>
      <x:c r="AR130" s="91"/>
      <x:c r="AS130" s="89"/>
      <x:c r="AT130" s="92"/>
      <x:c r="AU130" s="27"/>
      <x:c r="AV130" s="27"/>
      <x:c r="AW130" s="27"/>
      <x:c r="AX130" s="93"/>
      <x:c r="AY130" s="27"/>
      <x:c r="AZ130" s="27"/>
      <x:c r="BA130" s="94"/>
      <x:c r="BB130" s="82"/>
      <x:c r="BC130" s="80"/>
      <x:c r="BD130" s="83"/>
    </x:row>
    <x:row r="131">
      <x:c r="A131" s="80"/>
      <x:c r="B131" s="80"/>
      <x:c r="C131" s="25"/>
      <x:c r="D131" s="25"/>
      <x:c r="E131" s="80"/>
      <x:c r="F131" s="24"/>
      <x:c r="G131" s="24"/>
      <x:c r="H131" s="25"/>
      <x:c r="I131" s="80"/>
      <x:c r="J131" s="25"/>
      <x:c r="K131" s="89"/>
      <x:c r="L131" s="83"/>
      <x:c r="M131" s="24"/>
      <x:c r="N131" s="90"/>
      <x:c r="O131" s="90"/>
      <x:c r="P131" s="91"/>
      <x:c r="Q131" s="89"/>
      <x:c r="R131" s="91"/>
      <x:c r="S131" s="24"/>
      <x:c r="T131" s="24"/>
      <x:c r="U131" s="24"/>
      <x:c r="V131" s="83"/>
      <x:c r="W131" s="89"/>
      <x:c r="X131" s="91"/>
      <x:c r="Y131" s="91"/>
      <x:c r="Z131" s="91"/>
      <x:c r="AA131" s="24"/>
      <x:c r="AB131" s="24"/>
      <x:c r="AC131" s="24"/>
      <x:c r="AD131" s="24"/>
      <x:c r="AE131" s="89"/>
      <x:c r="AF131" s="91"/>
      <x:c r="AG131" s="83"/>
      <x:c r="AH131" s="83"/>
      <x:c r="AI131" s="83"/>
      <x:c r="AJ131" s="83"/>
      <x:c r="AK131" s="89"/>
      <x:c r="AL131" s="89"/>
      <x:c r="AM131" s="89"/>
      <x:c r="AN131" s="24"/>
      <x:c r="AO131" s="91"/>
      <x:c r="AP131" s="24"/>
      <x:c r="AQ131" s="24"/>
      <x:c r="AR131" s="91"/>
      <x:c r="AS131" s="89"/>
      <x:c r="AT131" s="92"/>
      <x:c r="AU131" s="27"/>
      <x:c r="AV131" s="27"/>
      <x:c r="AW131" s="27"/>
      <x:c r="AX131" s="93"/>
      <x:c r="AY131" s="27"/>
      <x:c r="AZ131" s="27"/>
      <x:c r="BA131" s="94"/>
      <x:c r="BB131" s="82"/>
      <x:c r="BC131" s="80"/>
      <x:c r="BD131" s="83"/>
    </x:row>
    <x:row r="132">
      <x:c r="A132" s="80"/>
      <x:c r="B132" s="80"/>
      <x:c r="C132" s="25"/>
      <x:c r="D132" s="25"/>
      <x:c r="E132" s="80"/>
      <x:c r="F132" s="24"/>
      <x:c r="G132" s="24"/>
      <x:c r="H132" s="25"/>
      <x:c r="I132" s="80"/>
      <x:c r="J132" s="25"/>
      <x:c r="K132" s="89"/>
      <x:c r="L132" s="83"/>
      <x:c r="M132" s="24"/>
      <x:c r="N132" s="90"/>
      <x:c r="O132" s="90"/>
      <x:c r="P132" s="91"/>
      <x:c r="Q132" s="89"/>
      <x:c r="R132" s="91"/>
      <x:c r="S132" s="24"/>
      <x:c r="T132" s="24"/>
      <x:c r="U132" s="24"/>
      <x:c r="V132" s="83"/>
      <x:c r="W132" s="89"/>
      <x:c r="X132" s="91"/>
      <x:c r="Y132" s="91"/>
      <x:c r="Z132" s="91"/>
      <x:c r="AA132" s="24"/>
      <x:c r="AB132" s="24"/>
      <x:c r="AC132" s="24"/>
      <x:c r="AD132" s="24"/>
      <x:c r="AE132" s="89"/>
      <x:c r="AF132" s="91"/>
      <x:c r="AG132" s="83"/>
      <x:c r="AH132" s="83"/>
      <x:c r="AI132" s="83"/>
      <x:c r="AJ132" s="83"/>
      <x:c r="AK132" s="89"/>
      <x:c r="AL132" s="89"/>
      <x:c r="AM132" s="89"/>
      <x:c r="AN132" s="24"/>
      <x:c r="AO132" s="91"/>
      <x:c r="AP132" s="24"/>
      <x:c r="AQ132" s="24"/>
      <x:c r="AR132" s="91"/>
      <x:c r="AS132" s="89"/>
      <x:c r="AT132" s="92"/>
      <x:c r="AU132" s="27"/>
      <x:c r="AV132" s="27"/>
      <x:c r="AW132" s="27"/>
      <x:c r="AX132" s="93"/>
      <x:c r="AY132" s="27"/>
      <x:c r="AZ132" s="27"/>
      <x:c r="BA132" s="94"/>
      <x:c r="BB132" s="82"/>
      <x:c r="BC132" s="80"/>
      <x:c r="BD132" s="83"/>
    </x:row>
    <x:row r="133">
      <x:c r="A133" s="80"/>
      <x:c r="B133" s="80"/>
      <x:c r="C133" s="25"/>
      <x:c r="D133" s="25"/>
      <x:c r="E133" s="80"/>
      <x:c r="F133" s="24"/>
      <x:c r="G133" s="24"/>
      <x:c r="H133" s="25"/>
      <x:c r="I133" s="80"/>
      <x:c r="J133" s="25"/>
      <x:c r="K133" s="89"/>
      <x:c r="L133" s="83"/>
      <x:c r="M133" s="24"/>
      <x:c r="N133" s="90"/>
      <x:c r="O133" s="90"/>
      <x:c r="P133" s="91"/>
      <x:c r="Q133" s="89"/>
      <x:c r="R133" s="91"/>
      <x:c r="S133" s="24"/>
      <x:c r="T133" s="24"/>
      <x:c r="U133" s="24"/>
      <x:c r="V133" s="83"/>
      <x:c r="W133" s="89"/>
      <x:c r="X133" s="91"/>
      <x:c r="Y133" s="91"/>
      <x:c r="Z133" s="91"/>
      <x:c r="AA133" s="24"/>
      <x:c r="AB133" s="24"/>
      <x:c r="AC133" s="24"/>
      <x:c r="AD133" s="24"/>
      <x:c r="AE133" s="89"/>
      <x:c r="AF133" s="91"/>
      <x:c r="AG133" s="83"/>
      <x:c r="AH133" s="83"/>
      <x:c r="AI133" s="83"/>
      <x:c r="AJ133" s="83"/>
      <x:c r="AK133" s="89"/>
      <x:c r="AL133" s="89"/>
      <x:c r="AM133" s="89"/>
      <x:c r="AN133" s="24"/>
      <x:c r="AO133" s="91"/>
      <x:c r="AP133" s="24"/>
      <x:c r="AQ133" s="24"/>
      <x:c r="AR133" s="91"/>
      <x:c r="AS133" s="89"/>
      <x:c r="AT133" s="92"/>
      <x:c r="AU133" s="27"/>
      <x:c r="AV133" s="27"/>
      <x:c r="AW133" s="27"/>
      <x:c r="AX133" s="93"/>
      <x:c r="AY133" s="27"/>
      <x:c r="AZ133" s="27"/>
      <x:c r="BA133" s="94"/>
      <x:c r="BB133" s="82"/>
      <x:c r="BC133" s="80"/>
      <x:c r="BD133" s="83"/>
    </x:row>
    <x:row r="134">
      <x:c r="A134" s="80"/>
      <x:c r="B134" s="80"/>
      <x:c r="C134" s="25"/>
      <x:c r="D134" s="25"/>
      <x:c r="E134" s="80"/>
      <x:c r="F134" s="24"/>
      <x:c r="G134" s="24"/>
      <x:c r="H134" s="25"/>
      <x:c r="I134" s="80"/>
      <x:c r="J134" s="25"/>
      <x:c r="K134" s="89"/>
      <x:c r="L134" s="83"/>
      <x:c r="M134" s="24"/>
      <x:c r="N134" s="90"/>
      <x:c r="O134" s="90"/>
      <x:c r="P134" s="91"/>
      <x:c r="Q134" s="89"/>
      <x:c r="R134" s="91"/>
      <x:c r="S134" s="24"/>
      <x:c r="T134" s="24"/>
      <x:c r="U134" s="24"/>
      <x:c r="V134" s="83"/>
      <x:c r="W134" s="89"/>
      <x:c r="X134" s="91"/>
      <x:c r="Y134" s="91"/>
      <x:c r="Z134" s="91"/>
      <x:c r="AA134" s="24"/>
      <x:c r="AB134" s="24"/>
      <x:c r="AC134" s="24"/>
      <x:c r="AD134" s="24"/>
      <x:c r="AE134" s="89"/>
      <x:c r="AF134" s="91"/>
      <x:c r="AG134" s="83"/>
      <x:c r="AH134" s="83"/>
      <x:c r="AI134" s="83"/>
      <x:c r="AJ134" s="83"/>
      <x:c r="AK134" s="89"/>
      <x:c r="AL134" s="89"/>
      <x:c r="AM134" s="89"/>
      <x:c r="AN134" s="24"/>
      <x:c r="AO134" s="91"/>
      <x:c r="AP134" s="24"/>
      <x:c r="AQ134" s="24"/>
      <x:c r="AR134" s="91"/>
      <x:c r="AS134" s="89"/>
      <x:c r="AT134" s="92"/>
      <x:c r="AU134" s="27"/>
      <x:c r="AV134" s="27"/>
      <x:c r="AW134" s="27"/>
      <x:c r="AX134" s="93"/>
      <x:c r="AY134" s="27"/>
      <x:c r="AZ134" s="27"/>
      <x:c r="BA134" s="94"/>
      <x:c r="BB134" s="82"/>
      <x:c r="BC134" s="80"/>
      <x:c r="BD134" s="83"/>
    </x:row>
    <x:row r="135">
      <x:c r="A135" s="80"/>
      <x:c r="B135" s="80"/>
      <x:c r="C135" s="25"/>
      <x:c r="D135" s="25"/>
      <x:c r="E135" s="80"/>
      <x:c r="F135" s="24"/>
      <x:c r="G135" s="24"/>
      <x:c r="H135" s="25"/>
      <x:c r="I135" s="80"/>
      <x:c r="J135" s="25"/>
      <x:c r="K135" s="89"/>
      <x:c r="L135" s="83"/>
      <x:c r="M135" s="24"/>
      <x:c r="N135" s="90"/>
      <x:c r="O135" s="90"/>
      <x:c r="P135" s="91"/>
      <x:c r="Q135" s="89"/>
      <x:c r="R135" s="91"/>
      <x:c r="S135" s="24"/>
      <x:c r="T135" s="24"/>
      <x:c r="U135" s="24"/>
      <x:c r="V135" s="83"/>
      <x:c r="W135" s="89"/>
      <x:c r="X135" s="91"/>
      <x:c r="Y135" s="91"/>
      <x:c r="Z135" s="91"/>
      <x:c r="AA135" s="24"/>
      <x:c r="AB135" s="24"/>
      <x:c r="AC135" s="24"/>
      <x:c r="AD135" s="24"/>
      <x:c r="AE135" s="89"/>
      <x:c r="AF135" s="91"/>
      <x:c r="AG135" s="83"/>
      <x:c r="AH135" s="83"/>
      <x:c r="AI135" s="83"/>
      <x:c r="AJ135" s="83"/>
      <x:c r="AK135" s="89"/>
      <x:c r="AL135" s="89"/>
      <x:c r="AM135" s="89"/>
      <x:c r="AN135" s="24"/>
      <x:c r="AO135" s="91"/>
      <x:c r="AP135" s="24"/>
      <x:c r="AQ135" s="24"/>
      <x:c r="AR135" s="91"/>
      <x:c r="AS135" s="89"/>
      <x:c r="AT135" s="92"/>
      <x:c r="AU135" s="27"/>
      <x:c r="AV135" s="27"/>
      <x:c r="AW135" s="27"/>
      <x:c r="AX135" s="93"/>
      <x:c r="AY135" s="27"/>
      <x:c r="AZ135" s="27"/>
      <x:c r="BA135" s="94"/>
      <x:c r="BB135" s="82"/>
      <x:c r="BC135" s="80"/>
      <x:c r="BD135" s="83"/>
    </x:row>
    <x:row r="136">
      <x:c r="A136" s="80"/>
      <x:c r="B136" s="80"/>
      <x:c r="C136" s="25"/>
      <x:c r="D136" s="25"/>
      <x:c r="E136" s="80"/>
      <x:c r="F136" s="24"/>
      <x:c r="G136" s="24"/>
      <x:c r="H136" s="25"/>
      <x:c r="I136" s="80"/>
      <x:c r="J136" s="25"/>
      <x:c r="K136" s="89"/>
      <x:c r="L136" s="83"/>
      <x:c r="M136" s="24"/>
      <x:c r="N136" s="90"/>
      <x:c r="O136" s="90"/>
      <x:c r="P136" s="91"/>
      <x:c r="Q136" s="89"/>
      <x:c r="R136" s="91"/>
      <x:c r="S136" s="24"/>
      <x:c r="T136" s="24"/>
      <x:c r="U136" s="24"/>
      <x:c r="V136" s="83"/>
      <x:c r="W136" s="89"/>
      <x:c r="X136" s="91"/>
      <x:c r="Y136" s="91"/>
      <x:c r="Z136" s="91"/>
      <x:c r="AA136" s="24"/>
      <x:c r="AB136" s="24"/>
      <x:c r="AC136" s="24"/>
      <x:c r="AD136" s="24"/>
      <x:c r="AE136" s="89"/>
      <x:c r="AF136" s="91"/>
      <x:c r="AG136" s="83"/>
      <x:c r="AH136" s="83"/>
      <x:c r="AI136" s="83"/>
      <x:c r="AJ136" s="83"/>
      <x:c r="AK136" s="89"/>
      <x:c r="AL136" s="89"/>
      <x:c r="AM136" s="89"/>
      <x:c r="AN136" s="24"/>
      <x:c r="AO136" s="91"/>
      <x:c r="AP136" s="24"/>
      <x:c r="AQ136" s="24"/>
      <x:c r="AR136" s="91"/>
      <x:c r="AS136" s="89"/>
      <x:c r="AT136" s="92"/>
      <x:c r="AU136" s="27"/>
      <x:c r="AV136" s="27"/>
      <x:c r="AW136" s="27"/>
      <x:c r="AX136" s="93"/>
      <x:c r="AY136" s="27"/>
      <x:c r="AZ136" s="27"/>
      <x:c r="BA136" s="94"/>
      <x:c r="BB136" s="82"/>
      <x:c r="BC136" s="80"/>
      <x:c r="BD136" s="83"/>
    </x:row>
    <x:row r="137">
      <x:c r="A137" s="80"/>
      <x:c r="B137" s="80"/>
      <x:c r="C137" s="25"/>
      <x:c r="D137" s="25"/>
      <x:c r="E137" s="80"/>
      <x:c r="F137" s="24"/>
      <x:c r="G137" s="24"/>
      <x:c r="H137" s="25"/>
      <x:c r="I137" s="80"/>
      <x:c r="J137" s="25"/>
      <x:c r="K137" s="89"/>
      <x:c r="L137" s="83"/>
      <x:c r="M137" s="24"/>
      <x:c r="N137" s="90"/>
      <x:c r="O137" s="90"/>
      <x:c r="P137" s="91"/>
      <x:c r="Q137" s="89"/>
      <x:c r="R137" s="91"/>
      <x:c r="S137" s="24"/>
      <x:c r="T137" s="24"/>
      <x:c r="U137" s="24"/>
      <x:c r="V137" s="83"/>
      <x:c r="W137" s="89"/>
      <x:c r="X137" s="91"/>
      <x:c r="Y137" s="91"/>
      <x:c r="Z137" s="91"/>
      <x:c r="AA137" s="24"/>
      <x:c r="AB137" s="24"/>
      <x:c r="AC137" s="24"/>
      <x:c r="AD137" s="24"/>
      <x:c r="AE137" s="89"/>
      <x:c r="AF137" s="91"/>
      <x:c r="AG137" s="83"/>
      <x:c r="AH137" s="83"/>
      <x:c r="AI137" s="83"/>
      <x:c r="AJ137" s="83"/>
      <x:c r="AK137" s="89"/>
      <x:c r="AL137" s="89"/>
      <x:c r="AM137" s="89"/>
      <x:c r="AN137" s="24"/>
      <x:c r="AO137" s="91"/>
      <x:c r="AP137" s="24"/>
      <x:c r="AQ137" s="24"/>
      <x:c r="AR137" s="91"/>
      <x:c r="AS137" s="89"/>
      <x:c r="AT137" s="92"/>
      <x:c r="AU137" s="27"/>
      <x:c r="AV137" s="27"/>
      <x:c r="AW137" s="27"/>
      <x:c r="AX137" s="93"/>
      <x:c r="AY137" s="27"/>
      <x:c r="AZ137" s="27"/>
      <x:c r="BA137" s="94"/>
      <x:c r="BB137" s="82"/>
      <x:c r="BC137" s="80"/>
      <x:c r="BD137" s="83"/>
    </x:row>
    <x:row r="138">
      <x:c r="A138" s="80"/>
      <x:c r="B138" s="80"/>
      <x:c r="C138" s="25"/>
      <x:c r="D138" s="25"/>
      <x:c r="E138" s="80"/>
      <x:c r="F138" s="24"/>
      <x:c r="G138" s="24"/>
      <x:c r="H138" s="25"/>
      <x:c r="I138" s="80"/>
      <x:c r="J138" s="25"/>
      <x:c r="K138" s="89"/>
      <x:c r="L138" s="83"/>
      <x:c r="M138" s="24"/>
      <x:c r="N138" s="90"/>
      <x:c r="O138" s="90"/>
      <x:c r="P138" s="91"/>
      <x:c r="Q138" s="89"/>
      <x:c r="R138" s="91"/>
      <x:c r="S138" s="24"/>
      <x:c r="T138" s="24"/>
      <x:c r="U138" s="24"/>
      <x:c r="V138" s="83"/>
      <x:c r="W138" s="89"/>
      <x:c r="X138" s="91"/>
      <x:c r="Y138" s="91"/>
      <x:c r="Z138" s="91"/>
      <x:c r="AA138" s="24"/>
      <x:c r="AB138" s="24"/>
      <x:c r="AC138" s="24"/>
      <x:c r="AD138" s="24"/>
      <x:c r="AE138" s="89"/>
      <x:c r="AF138" s="91"/>
      <x:c r="AG138" s="83"/>
      <x:c r="AH138" s="83"/>
      <x:c r="AI138" s="83"/>
      <x:c r="AJ138" s="83"/>
      <x:c r="AK138" s="89"/>
      <x:c r="AL138" s="89"/>
      <x:c r="AM138" s="89"/>
      <x:c r="AN138" s="24"/>
      <x:c r="AO138" s="91"/>
      <x:c r="AP138" s="24"/>
      <x:c r="AQ138" s="24"/>
      <x:c r="AR138" s="91"/>
      <x:c r="AS138" s="89"/>
      <x:c r="AT138" s="92"/>
      <x:c r="AU138" s="27"/>
      <x:c r="AV138" s="27"/>
      <x:c r="AW138" s="27"/>
      <x:c r="AX138" s="93"/>
      <x:c r="AY138" s="27"/>
      <x:c r="AZ138" s="27"/>
      <x:c r="BA138" s="94"/>
      <x:c r="BB138" s="82"/>
      <x:c r="BC138" s="80"/>
      <x:c r="BD138" s="83"/>
    </x:row>
    <x:row r="139">
      <x:c r="A139" s="80"/>
      <x:c r="B139" s="80"/>
      <x:c r="C139" s="25"/>
      <x:c r="D139" s="25"/>
      <x:c r="E139" s="80"/>
      <x:c r="F139" s="24"/>
      <x:c r="G139" s="24"/>
      <x:c r="H139" s="25"/>
      <x:c r="I139" s="80"/>
      <x:c r="J139" s="25"/>
      <x:c r="K139" s="89"/>
      <x:c r="L139" s="83"/>
      <x:c r="M139" s="24"/>
      <x:c r="N139" s="90"/>
      <x:c r="O139" s="90"/>
      <x:c r="P139" s="91"/>
      <x:c r="Q139" s="89"/>
      <x:c r="R139" s="91"/>
      <x:c r="S139" s="24"/>
      <x:c r="T139" s="24"/>
      <x:c r="U139" s="24"/>
      <x:c r="V139" s="83"/>
      <x:c r="W139" s="89"/>
      <x:c r="X139" s="91"/>
      <x:c r="Y139" s="91"/>
      <x:c r="Z139" s="91"/>
      <x:c r="AA139" s="24"/>
      <x:c r="AB139" s="24"/>
      <x:c r="AC139" s="24"/>
      <x:c r="AD139" s="24"/>
      <x:c r="AE139" s="89"/>
      <x:c r="AF139" s="91"/>
      <x:c r="AG139" s="83"/>
      <x:c r="AH139" s="83"/>
      <x:c r="AI139" s="83"/>
      <x:c r="AJ139" s="83"/>
      <x:c r="AK139" s="89"/>
      <x:c r="AL139" s="89"/>
      <x:c r="AM139" s="89"/>
      <x:c r="AN139" s="24"/>
      <x:c r="AO139" s="91"/>
      <x:c r="AP139" s="24"/>
      <x:c r="AQ139" s="24"/>
      <x:c r="AR139" s="91"/>
      <x:c r="AS139" s="89"/>
      <x:c r="AT139" s="92"/>
      <x:c r="AU139" s="27"/>
      <x:c r="AV139" s="27"/>
      <x:c r="AW139" s="27"/>
      <x:c r="AX139" s="93"/>
      <x:c r="AY139" s="27"/>
      <x:c r="AZ139" s="27"/>
      <x:c r="BA139" s="94"/>
      <x:c r="BB139" s="82"/>
      <x:c r="BC139" s="80"/>
      <x:c r="BD139" s="83"/>
    </x:row>
    <x:row r="140">
      <x:c r="A140" s="80"/>
      <x:c r="B140" s="80"/>
      <x:c r="C140" s="25"/>
      <x:c r="D140" s="25"/>
      <x:c r="E140" s="80"/>
      <x:c r="F140" s="24"/>
      <x:c r="G140" s="24"/>
      <x:c r="H140" s="25"/>
      <x:c r="I140" s="80"/>
      <x:c r="J140" s="25"/>
      <x:c r="K140" s="89"/>
      <x:c r="L140" s="83"/>
      <x:c r="M140" s="24"/>
      <x:c r="N140" s="90"/>
      <x:c r="O140" s="90"/>
      <x:c r="P140" s="91"/>
      <x:c r="Q140" s="89"/>
      <x:c r="R140" s="91"/>
      <x:c r="S140" s="24"/>
      <x:c r="T140" s="24"/>
      <x:c r="U140" s="24"/>
      <x:c r="V140" s="83"/>
      <x:c r="W140" s="89"/>
      <x:c r="X140" s="91"/>
      <x:c r="Y140" s="91"/>
      <x:c r="Z140" s="91"/>
      <x:c r="AA140" s="24"/>
      <x:c r="AB140" s="24"/>
      <x:c r="AC140" s="24"/>
      <x:c r="AD140" s="24"/>
      <x:c r="AE140" s="89"/>
      <x:c r="AF140" s="91"/>
      <x:c r="AG140" s="83"/>
      <x:c r="AH140" s="83"/>
      <x:c r="AI140" s="83"/>
      <x:c r="AJ140" s="83"/>
      <x:c r="AK140" s="89"/>
      <x:c r="AL140" s="89"/>
      <x:c r="AM140" s="89"/>
      <x:c r="AN140" s="24"/>
      <x:c r="AO140" s="91"/>
      <x:c r="AP140" s="24"/>
      <x:c r="AQ140" s="24"/>
      <x:c r="AR140" s="91"/>
      <x:c r="AS140" s="89"/>
      <x:c r="AT140" s="92"/>
      <x:c r="AU140" s="27"/>
      <x:c r="AV140" s="27"/>
      <x:c r="AW140" s="27"/>
      <x:c r="AX140" s="93"/>
      <x:c r="AY140" s="27"/>
      <x:c r="AZ140" s="27"/>
      <x:c r="BA140" s="94"/>
      <x:c r="BB140" s="82"/>
      <x:c r="BC140" s="80"/>
      <x:c r="BD140" s="83"/>
    </x:row>
    <x:row r="141">
      <x:c r="A141" s="80"/>
      <x:c r="B141" s="80"/>
      <x:c r="C141" s="25"/>
      <x:c r="D141" s="25"/>
      <x:c r="E141" s="80"/>
      <x:c r="F141" s="24"/>
      <x:c r="G141" s="24"/>
      <x:c r="H141" s="25"/>
      <x:c r="I141" s="80"/>
      <x:c r="J141" s="25"/>
      <x:c r="K141" s="89"/>
      <x:c r="L141" s="83"/>
      <x:c r="M141" s="24"/>
      <x:c r="N141" s="90"/>
      <x:c r="O141" s="90"/>
      <x:c r="P141" s="91"/>
      <x:c r="Q141" s="89"/>
      <x:c r="R141" s="91"/>
      <x:c r="S141" s="24"/>
      <x:c r="T141" s="24"/>
      <x:c r="U141" s="24"/>
      <x:c r="V141" s="83"/>
      <x:c r="W141" s="89"/>
      <x:c r="X141" s="91"/>
      <x:c r="Y141" s="91"/>
      <x:c r="Z141" s="91"/>
      <x:c r="AA141" s="24"/>
      <x:c r="AB141" s="24"/>
      <x:c r="AC141" s="24"/>
      <x:c r="AD141" s="24"/>
      <x:c r="AE141" s="89"/>
      <x:c r="AF141" s="91"/>
      <x:c r="AG141" s="83"/>
      <x:c r="AH141" s="83"/>
      <x:c r="AI141" s="83"/>
      <x:c r="AJ141" s="83"/>
      <x:c r="AK141" s="89"/>
      <x:c r="AL141" s="89"/>
      <x:c r="AM141" s="89"/>
      <x:c r="AN141" s="24"/>
      <x:c r="AO141" s="91"/>
      <x:c r="AP141" s="24"/>
      <x:c r="AQ141" s="24"/>
      <x:c r="AR141" s="91"/>
      <x:c r="AS141" s="89"/>
      <x:c r="AT141" s="92"/>
      <x:c r="AU141" s="27"/>
      <x:c r="AV141" s="27"/>
      <x:c r="AW141" s="27"/>
      <x:c r="AX141" s="93"/>
      <x:c r="AY141" s="27"/>
      <x:c r="AZ141" s="27"/>
      <x:c r="BA141" s="94"/>
      <x:c r="BB141" s="82"/>
      <x:c r="BC141" s="80"/>
      <x:c r="BD141" s="83"/>
    </x:row>
    <x:row r="142">
      <x:c r="A142" s="80"/>
      <x:c r="B142" s="80"/>
      <x:c r="C142" s="25"/>
      <x:c r="D142" s="25"/>
      <x:c r="E142" s="80"/>
      <x:c r="F142" s="24"/>
      <x:c r="G142" s="24"/>
      <x:c r="H142" s="25"/>
      <x:c r="I142" s="80"/>
      <x:c r="J142" s="25"/>
      <x:c r="K142" s="89"/>
      <x:c r="L142" s="83"/>
      <x:c r="M142" s="24"/>
      <x:c r="N142" s="90"/>
      <x:c r="O142" s="90"/>
      <x:c r="P142" s="91"/>
      <x:c r="Q142" s="89"/>
      <x:c r="R142" s="91"/>
      <x:c r="S142" s="24"/>
      <x:c r="T142" s="24"/>
      <x:c r="U142" s="24"/>
      <x:c r="V142" s="83"/>
      <x:c r="W142" s="89"/>
      <x:c r="X142" s="91"/>
      <x:c r="Y142" s="91"/>
      <x:c r="Z142" s="91"/>
      <x:c r="AA142" s="24"/>
      <x:c r="AB142" s="24"/>
      <x:c r="AC142" s="24"/>
      <x:c r="AD142" s="24"/>
      <x:c r="AE142" s="89"/>
      <x:c r="AF142" s="91"/>
      <x:c r="AG142" s="83"/>
      <x:c r="AH142" s="83"/>
      <x:c r="AI142" s="83"/>
      <x:c r="AJ142" s="83"/>
      <x:c r="AK142" s="89"/>
      <x:c r="AL142" s="89"/>
      <x:c r="AM142" s="89"/>
      <x:c r="AN142" s="24"/>
      <x:c r="AO142" s="91"/>
      <x:c r="AP142" s="24"/>
      <x:c r="AQ142" s="24"/>
      <x:c r="AR142" s="91"/>
      <x:c r="AS142" s="89"/>
      <x:c r="AT142" s="92"/>
      <x:c r="AU142" s="27"/>
      <x:c r="AV142" s="27"/>
      <x:c r="AW142" s="27"/>
      <x:c r="AX142" s="93"/>
      <x:c r="AY142" s="27"/>
      <x:c r="AZ142" s="27"/>
      <x:c r="BA142" s="94"/>
      <x:c r="BB142" s="82"/>
      <x:c r="BC142" s="80"/>
      <x:c r="BD142" s="83"/>
    </x:row>
    <x:row r="143">
      <x:c r="A143" s="80"/>
      <x:c r="B143" s="80"/>
      <x:c r="C143" s="25"/>
      <x:c r="D143" s="25"/>
      <x:c r="E143" s="80"/>
      <x:c r="F143" s="24"/>
      <x:c r="G143" s="24"/>
      <x:c r="H143" s="25"/>
      <x:c r="I143" s="80"/>
      <x:c r="J143" s="25"/>
      <x:c r="K143" s="89"/>
      <x:c r="L143" s="83"/>
      <x:c r="M143" s="24"/>
      <x:c r="N143" s="90"/>
      <x:c r="O143" s="90"/>
      <x:c r="P143" s="91"/>
      <x:c r="Q143" s="89"/>
      <x:c r="R143" s="91"/>
      <x:c r="S143" s="24"/>
      <x:c r="T143" s="24"/>
      <x:c r="U143" s="24"/>
      <x:c r="V143" s="83"/>
      <x:c r="W143" s="89"/>
      <x:c r="X143" s="91"/>
      <x:c r="Y143" s="91"/>
      <x:c r="Z143" s="91"/>
      <x:c r="AA143" s="24"/>
      <x:c r="AB143" s="24"/>
      <x:c r="AC143" s="24"/>
      <x:c r="AD143" s="24"/>
      <x:c r="AE143" s="89"/>
      <x:c r="AF143" s="91"/>
      <x:c r="AG143" s="83"/>
      <x:c r="AH143" s="83"/>
      <x:c r="AI143" s="83"/>
      <x:c r="AJ143" s="83"/>
      <x:c r="AK143" s="89"/>
      <x:c r="AL143" s="89"/>
      <x:c r="AM143" s="89"/>
      <x:c r="AN143" s="24"/>
      <x:c r="AO143" s="91"/>
      <x:c r="AP143" s="24"/>
      <x:c r="AQ143" s="24"/>
      <x:c r="AR143" s="91"/>
      <x:c r="AS143" s="89"/>
      <x:c r="AT143" s="92"/>
      <x:c r="AU143" s="27"/>
      <x:c r="AV143" s="27"/>
      <x:c r="AW143" s="27"/>
      <x:c r="AX143" s="93"/>
      <x:c r="AY143" s="27"/>
      <x:c r="AZ143" s="27"/>
      <x:c r="BA143" s="94"/>
      <x:c r="BB143" s="82"/>
      <x:c r="BC143" s="80"/>
      <x:c r="BD143" s="83"/>
    </x:row>
    <x:row r="144">
      <x:c r="A144" s="80"/>
      <x:c r="B144" s="80"/>
      <x:c r="C144" s="25"/>
      <x:c r="D144" s="25"/>
      <x:c r="E144" s="80"/>
      <x:c r="F144" s="24"/>
      <x:c r="G144" s="24"/>
      <x:c r="H144" s="25"/>
      <x:c r="I144" s="80"/>
      <x:c r="J144" s="25"/>
      <x:c r="K144" s="89"/>
      <x:c r="L144" s="83"/>
      <x:c r="M144" s="24"/>
      <x:c r="N144" s="90"/>
      <x:c r="O144" s="90"/>
      <x:c r="P144" s="91"/>
      <x:c r="Q144" s="89"/>
      <x:c r="R144" s="91"/>
      <x:c r="S144" s="24"/>
      <x:c r="T144" s="24"/>
      <x:c r="U144" s="24"/>
      <x:c r="V144" s="83"/>
      <x:c r="W144" s="89"/>
      <x:c r="X144" s="91"/>
      <x:c r="Y144" s="91"/>
      <x:c r="Z144" s="91"/>
      <x:c r="AA144" s="24"/>
      <x:c r="AB144" s="24"/>
      <x:c r="AC144" s="24"/>
      <x:c r="AD144" s="24"/>
      <x:c r="AE144" s="89"/>
      <x:c r="AF144" s="91"/>
      <x:c r="AG144" s="83"/>
      <x:c r="AH144" s="83"/>
      <x:c r="AI144" s="83"/>
      <x:c r="AJ144" s="83"/>
      <x:c r="AK144" s="89"/>
      <x:c r="AL144" s="89"/>
      <x:c r="AM144" s="89"/>
      <x:c r="AN144" s="24"/>
      <x:c r="AO144" s="91"/>
      <x:c r="AP144" s="24"/>
      <x:c r="AQ144" s="24"/>
      <x:c r="AR144" s="91"/>
      <x:c r="AS144" s="89"/>
      <x:c r="AT144" s="92"/>
      <x:c r="AU144" s="27"/>
      <x:c r="AV144" s="27"/>
      <x:c r="AW144" s="27"/>
      <x:c r="AX144" s="93"/>
      <x:c r="AY144" s="27"/>
      <x:c r="AZ144" s="27"/>
      <x:c r="BA144" s="94"/>
      <x:c r="BB144" s="82"/>
      <x:c r="BC144" s="80"/>
      <x:c r="BD144" s="83"/>
    </x:row>
    <x:row r="145">
      <x:c r="A145" s="80"/>
      <x:c r="B145" s="80"/>
      <x:c r="C145" s="25"/>
      <x:c r="D145" s="25"/>
      <x:c r="E145" s="80"/>
      <x:c r="F145" s="24"/>
      <x:c r="G145" s="24"/>
      <x:c r="H145" s="25"/>
      <x:c r="I145" s="80"/>
      <x:c r="J145" s="25"/>
      <x:c r="K145" s="89"/>
      <x:c r="L145" s="83"/>
      <x:c r="M145" s="24"/>
      <x:c r="N145" s="90"/>
      <x:c r="O145" s="90"/>
      <x:c r="P145" s="91"/>
      <x:c r="Q145" s="89"/>
      <x:c r="R145" s="91"/>
      <x:c r="S145" s="24"/>
      <x:c r="T145" s="24"/>
      <x:c r="U145" s="24"/>
      <x:c r="V145" s="83"/>
      <x:c r="W145" s="89"/>
      <x:c r="X145" s="91"/>
      <x:c r="Y145" s="91"/>
      <x:c r="Z145" s="91"/>
      <x:c r="AA145" s="24"/>
      <x:c r="AB145" s="24"/>
      <x:c r="AC145" s="24"/>
      <x:c r="AD145" s="24"/>
      <x:c r="AE145" s="89"/>
      <x:c r="AF145" s="91"/>
      <x:c r="AG145" s="83"/>
      <x:c r="AH145" s="83"/>
      <x:c r="AI145" s="83"/>
      <x:c r="AJ145" s="83"/>
      <x:c r="AK145" s="89"/>
      <x:c r="AL145" s="89"/>
      <x:c r="AM145" s="89"/>
      <x:c r="AN145" s="24"/>
      <x:c r="AO145" s="91"/>
      <x:c r="AP145" s="24"/>
      <x:c r="AQ145" s="24"/>
      <x:c r="AR145" s="91"/>
      <x:c r="AS145" s="89"/>
      <x:c r="AT145" s="92"/>
      <x:c r="AU145" s="27"/>
      <x:c r="AV145" s="27"/>
      <x:c r="AW145" s="27"/>
      <x:c r="AX145" s="93"/>
      <x:c r="AY145" s="27"/>
      <x:c r="AZ145" s="27"/>
      <x:c r="BA145" s="94"/>
      <x:c r="BB145" s="82"/>
      <x:c r="BC145" s="80"/>
      <x:c r="BD145" s="83"/>
    </x:row>
    <x:row r="146">
      <x:c r="A146" s="80"/>
      <x:c r="B146" s="80"/>
      <x:c r="C146" s="25"/>
      <x:c r="D146" s="25"/>
      <x:c r="E146" s="80"/>
      <x:c r="F146" s="24"/>
      <x:c r="G146" s="24"/>
      <x:c r="H146" s="25"/>
      <x:c r="I146" s="80"/>
      <x:c r="J146" s="25"/>
      <x:c r="K146" s="89"/>
      <x:c r="L146" s="83"/>
      <x:c r="M146" s="24"/>
      <x:c r="N146" s="90"/>
      <x:c r="O146" s="90"/>
      <x:c r="P146" s="91"/>
      <x:c r="Q146" s="89"/>
      <x:c r="R146" s="91"/>
      <x:c r="S146" s="24"/>
      <x:c r="T146" s="24"/>
      <x:c r="U146" s="24"/>
      <x:c r="V146" s="83"/>
      <x:c r="W146" s="89"/>
      <x:c r="X146" s="91"/>
      <x:c r="Y146" s="91"/>
      <x:c r="Z146" s="91"/>
      <x:c r="AA146" s="24"/>
      <x:c r="AB146" s="24"/>
      <x:c r="AC146" s="24"/>
      <x:c r="AD146" s="24"/>
      <x:c r="AE146" s="89"/>
      <x:c r="AF146" s="91"/>
      <x:c r="AG146" s="83"/>
      <x:c r="AH146" s="83"/>
      <x:c r="AI146" s="83"/>
      <x:c r="AJ146" s="83"/>
      <x:c r="AK146" s="89"/>
      <x:c r="AL146" s="89"/>
      <x:c r="AM146" s="89"/>
      <x:c r="AN146" s="24"/>
      <x:c r="AO146" s="91"/>
      <x:c r="AP146" s="24"/>
      <x:c r="AQ146" s="24"/>
      <x:c r="AR146" s="91"/>
      <x:c r="AS146" s="89"/>
      <x:c r="AT146" s="92"/>
      <x:c r="AU146" s="27"/>
      <x:c r="AV146" s="27"/>
      <x:c r="AW146" s="27"/>
      <x:c r="AX146" s="93"/>
      <x:c r="AY146" s="27"/>
      <x:c r="AZ146" s="27"/>
      <x:c r="BA146" s="94"/>
      <x:c r="BB146" s="82"/>
      <x:c r="BC146" s="80"/>
      <x:c r="BD146" s="83"/>
    </x:row>
    <x:row r="147">
      <x:c r="A147" s="80"/>
      <x:c r="B147" s="80"/>
      <x:c r="C147" s="25"/>
      <x:c r="D147" s="25"/>
      <x:c r="E147" s="80"/>
      <x:c r="F147" s="24"/>
      <x:c r="G147" s="24"/>
      <x:c r="H147" s="25"/>
      <x:c r="I147" s="80"/>
      <x:c r="J147" s="25"/>
      <x:c r="K147" s="89"/>
      <x:c r="L147" s="83"/>
      <x:c r="M147" s="24"/>
      <x:c r="N147" s="90"/>
      <x:c r="O147" s="90"/>
      <x:c r="P147" s="91"/>
      <x:c r="Q147" s="89"/>
      <x:c r="R147" s="91"/>
      <x:c r="S147" s="24"/>
      <x:c r="T147" s="24"/>
      <x:c r="U147" s="24"/>
      <x:c r="V147" s="83"/>
      <x:c r="W147" s="89"/>
      <x:c r="X147" s="91"/>
      <x:c r="Y147" s="91"/>
      <x:c r="Z147" s="91"/>
      <x:c r="AA147" s="24"/>
      <x:c r="AB147" s="24"/>
      <x:c r="AC147" s="24"/>
      <x:c r="AD147" s="24"/>
      <x:c r="AE147" s="89"/>
      <x:c r="AF147" s="91"/>
      <x:c r="AG147" s="83"/>
      <x:c r="AH147" s="83"/>
      <x:c r="AI147" s="83"/>
      <x:c r="AJ147" s="83"/>
      <x:c r="AK147" s="89"/>
      <x:c r="AL147" s="89"/>
      <x:c r="AM147" s="89"/>
      <x:c r="AN147" s="24"/>
      <x:c r="AO147" s="91"/>
      <x:c r="AP147" s="24"/>
      <x:c r="AQ147" s="24"/>
      <x:c r="AR147" s="91"/>
      <x:c r="AS147" s="89"/>
      <x:c r="AT147" s="92"/>
      <x:c r="AU147" s="27"/>
      <x:c r="AV147" s="27"/>
      <x:c r="AW147" s="27"/>
      <x:c r="AX147" s="93"/>
      <x:c r="AY147" s="27"/>
      <x:c r="AZ147" s="27"/>
      <x:c r="BA147" s="94"/>
      <x:c r="BB147" s="82"/>
      <x:c r="BC147" s="80"/>
      <x:c r="BD147" s="83"/>
    </x:row>
    <x:row r="148">
      <x:c r="A148" s="80"/>
      <x:c r="B148" s="80"/>
      <x:c r="C148" s="25"/>
      <x:c r="D148" s="25"/>
      <x:c r="E148" s="80"/>
      <x:c r="F148" s="24"/>
      <x:c r="G148" s="24"/>
      <x:c r="H148" s="25"/>
      <x:c r="I148" s="80"/>
      <x:c r="J148" s="25"/>
      <x:c r="K148" s="89"/>
      <x:c r="L148" s="83"/>
      <x:c r="M148" s="24"/>
      <x:c r="N148" s="90"/>
      <x:c r="O148" s="90"/>
      <x:c r="P148" s="91"/>
      <x:c r="Q148" s="89"/>
      <x:c r="R148" s="91"/>
      <x:c r="S148" s="24"/>
      <x:c r="T148" s="24"/>
      <x:c r="U148" s="24"/>
      <x:c r="V148" s="83"/>
      <x:c r="W148" s="89"/>
      <x:c r="X148" s="91"/>
      <x:c r="Y148" s="91"/>
      <x:c r="Z148" s="91"/>
      <x:c r="AA148" s="24"/>
      <x:c r="AB148" s="24"/>
      <x:c r="AC148" s="24"/>
      <x:c r="AD148" s="24"/>
      <x:c r="AE148" s="89"/>
      <x:c r="AF148" s="91"/>
      <x:c r="AG148" s="83"/>
      <x:c r="AH148" s="83"/>
      <x:c r="AI148" s="83"/>
      <x:c r="AJ148" s="83"/>
      <x:c r="AK148" s="89"/>
      <x:c r="AL148" s="89"/>
      <x:c r="AM148" s="89"/>
      <x:c r="AN148" s="24"/>
      <x:c r="AO148" s="91"/>
      <x:c r="AP148" s="24"/>
      <x:c r="AQ148" s="24"/>
      <x:c r="AR148" s="91"/>
      <x:c r="AS148" s="89"/>
      <x:c r="AT148" s="92"/>
      <x:c r="AU148" s="27"/>
      <x:c r="AV148" s="27"/>
      <x:c r="AW148" s="27"/>
      <x:c r="AX148" s="93"/>
      <x:c r="AY148" s="27"/>
      <x:c r="AZ148" s="27"/>
      <x:c r="BA148" s="94"/>
      <x:c r="BB148" s="82"/>
      <x:c r="BC148" s="80"/>
      <x:c r="BD148" s="83"/>
    </x:row>
    <x:row r="149">
      <x:c r="A149" s="80"/>
      <x:c r="B149" s="80"/>
      <x:c r="C149" s="25"/>
      <x:c r="D149" s="25"/>
      <x:c r="E149" s="80"/>
      <x:c r="F149" s="24"/>
      <x:c r="G149" s="24"/>
      <x:c r="H149" s="25"/>
      <x:c r="I149" s="80"/>
      <x:c r="J149" s="25"/>
      <x:c r="K149" s="89"/>
      <x:c r="L149" s="83"/>
      <x:c r="M149" s="24"/>
      <x:c r="N149" s="90"/>
      <x:c r="O149" s="90"/>
      <x:c r="P149" s="91"/>
      <x:c r="Q149" s="89"/>
      <x:c r="R149" s="91"/>
      <x:c r="S149" s="24"/>
      <x:c r="T149" s="24"/>
      <x:c r="U149" s="24"/>
      <x:c r="V149" s="83"/>
      <x:c r="W149" s="89"/>
      <x:c r="X149" s="91"/>
      <x:c r="Y149" s="91"/>
      <x:c r="Z149" s="91"/>
      <x:c r="AA149" s="24"/>
      <x:c r="AB149" s="24"/>
      <x:c r="AC149" s="24"/>
      <x:c r="AD149" s="24"/>
      <x:c r="AE149" s="89"/>
      <x:c r="AF149" s="91"/>
      <x:c r="AG149" s="83"/>
      <x:c r="AH149" s="83"/>
      <x:c r="AI149" s="83"/>
      <x:c r="AJ149" s="83"/>
      <x:c r="AK149" s="89"/>
      <x:c r="AL149" s="89"/>
      <x:c r="AM149" s="89"/>
      <x:c r="AN149" s="24"/>
      <x:c r="AO149" s="91"/>
      <x:c r="AP149" s="24"/>
      <x:c r="AQ149" s="24"/>
      <x:c r="AR149" s="91"/>
      <x:c r="AS149" s="89"/>
      <x:c r="AT149" s="92"/>
      <x:c r="AU149" s="27"/>
      <x:c r="AV149" s="27"/>
      <x:c r="AW149" s="27"/>
      <x:c r="AX149" s="93"/>
      <x:c r="AY149" s="27"/>
      <x:c r="AZ149" s="27"/>
      <x:c r="BA149" s="94"/>
      <x:c r="BB149" s="82"/>
      <x:c r="BC149" s="80"/>
      <x:c r="BD149" s="83"/>
    </x:row>
    <x:row r="150">
      <x:c r="A150" s="80"/>
      <x:c r="B150" s="80"/>
      <x:c r="C150" s="25"/>
      <x:c r="D150" s="25"/>
      <x:c r="E150" s="80"/>
      <x:c r="F150" s="24"/>
      <x:c r="G150" s="24"/>
      <x:c r="H150" s="25"/>
      <x:c r="I150" s="80"/>
      <x:c r="J150" s="25"/>
      <x:c r="K150" s="89"/>
      <x:c r="L150" s="83"/>
      <x:c r="M150" s="24"/>
      <x:c r="N150" s="90"/>
      <x:c r="O150" s="90"/>
      <x:c r="P150" s="91"/>
      <x:c r="Q150" s="89"/>
      <x:c r="R150" s="91"/>
      <x:c r="S150" s="24"/>
      <x:c r="T150" s="24"/>
      <x:c r="U150" s="24"/>
      <x:c r="V150" s="83"/>
      <x:c r="W150" s="89"/>
      <x:c r="X150" s="91"/>
      <x:c r="Y150" s="91"/>
      <x:c r="Z150" s="91"/>
      <x:c r="AA150" s="24"/>
      <x:c r="AB150" s="24"/>
      <x:c r="AC150" s="24"/>
      <x:c r="AD150" s="24"/>
      <x:c r="AE150" s="89"/>
      <x:c r="AF150" s="91"/>
      <x:c r="AG150" s="83"/>
      <x:c r="AH150" s="83"/>
      <x:c r="AI150" s="83"/>
      <x:c r="AJ150" s="83"/>
      <x:c r="AK150" s="89"/>
      <x:c r="AL150" s="89"/>
      <x:c r="AM150" s="89"/>
      <x:c r="AN150" s="24"/>
      <x:c r="AO150" s="91"/>
      <x:c r="AP150" s="24"/>
      <x:c r="AQ150" s="24"/>
      <x:c r="AR150" s="91"/>
      <x:c r="AS150" s="89"/>
      <x:c r="AT150" s="92"/>
      <x:c r="AU150" s="27"/>
      <x:c r="AV150" s="27"/>
      <x:c r="AW150" s="27"/>
      <x:c r="AX150" s="93"/>
      <x:c r="AY150" s="27"/>
      <x:c r="AZ150" s="27"/>
      <x:c r="BA150" s="94"/>
      <x:c r="BB150" s="82"/>
      <x:c r="BC150" s="80"/>
      <x:c r="BD150" s="83"/>
    </x:row>
    <x:row r="151">
      <x:c r="A151" s="80"/>
      <x:c r="B151" s="80"/>
      <x:c r="C151" s="25"/>
      <x:c r="D151" s="25"/>
      <x:c r="E151" s="80"/>
      <x:c r="F151" s="24"/>
      <x:c r="G151" s="24"/>
      <x:c r="H151" s="25"/>
      <x:c r="I151" s="80"/>
      <x:c r="J151" s="25"/>
      <x:c r="K151" s="89"/>
      <x:c r="L151" s="83"/>
      <x:c r="M151" s="24"/>
      <x:c r="N151" s="90"/>
      <x:c r="O151" s="90"/>
      <x:c r="P151" s="91"/>
      <x:c r="Q151" s="89"/>
      <x:c r="R151" s="91"/>
      <x:c r="S151" s="24"/>
      <x:c r="T151" s="24"/>
      <x:c r="U151" s="24"/>
      <x:c r="V151" s="83"/>
      <x:c r="W151" s="89"/>
      <x:c r="X151" s="91"/>
      <x:c r="Y151" s="91"/>
      <x:c r="Z151" s="91"/>
      <x:c r="AA151" s="24"/>
      <x:c r="AB151" s="24"/>
      <x:c r="AC151" s="24"/>
      <x:c r="AD151" s="24"/>
      <x:c r="AE151" s="89"/>
      <x:c r="AF151" s="91"/>
      <x:c r="AG151" s="83"/>
      <x:c r="AH151" s="83"/>
      <x:c r="AI151" s="83"/>
      <x:c r="AJ151" s="83"/>
      <x:c r="AK151" s="89"/>
      <x:c r="AL151" s="89"/>
      <x:c r="AM151" s="89"/>
      <x:c r="AN151" s="24"/>
      <x:c r="AO151" s="91"/>
      <x:c r="AP151" s="24"/>
      <x:c r="AQ151" s="24"/>
      <x:c r="AR151" s="91"/>
      <x:c r="AS151" s="89"/>
      <x:c r="AT151" s="92"/>
      <x:c r="AU151" s="27"/>
      <x:c r="AV151" s="27"/>
      <x:c r="AW151" s="27"/>
      <x:c r="AX151" s="93"/>
      <x:c r="AY151" s="27"/>
      <x:c r="AZ151" s="27"/>
      <x:c r="BA151" s="94"/>
      <x:c r="BB151" s="82"/>
      <x:c r="BC151" s="80"/>
      <x:c r="BD151" s="83"/>
    </x:row>
    <x:row r="152">
      <x:c r="A152" s="80"/>
      <x:c r="B152" s="80"/>
      <x:c r="C152" s="25"/>
      <x:c r="D152" s="25"/>
      <x:c r="E152" s="80"/>
      <x:c r="F152" s="24"/>
      <x:c r="G152" s="24"/>
      <x:c r="H152" s="25"/>
      <x:c r="I152" s="80"/>
      <x:c r="J152" s="25"/>
      <x:c r="K152" s="89"/>
      <x:c r="L152" s="83"/>
      <x:c r="M152" s="24"/>
      <x:c r="N152" s="90"/>
      <x:c r="O152" s="90"/>
      <x:c r="P152" s="91"/>
      <x:c r="Q152" s="89"/>
      <x:c r="R152" s="91"/>
      <x:c r="S152" s="24"/>
      <x:c r="T152" s="24"/>
      <x:c r="U152" s="24"/>
      <x:c r="V152" s="83"/>
      <x:c r="W152" s="89"/>
      <x:c r="X152" s="91"/>
      <x:c r="Y152" s="91"/>
      <x:c r="Z152" s="91"/>
      <x:c r="AA152" s="24"/>
      <x:c r="AB152" s="24"/>
      <x:c r="AC152" s="24"/>
      <x:c r="AD152" s="24"/>
      <x:c r="AE152" s="89"/>
      <x:c r="AF152" s="91"/>
      <x:c r="AG152" s="83"/>
      <x:c r="AH152" s="83"/>
      <x:c r="AI152" s="83"/>
      <x:c r="AJ152" s="83"/>
      <x:c r="AK152" s="89"/>
      <x:c r="AL152" s="89"/>
      <x:c r="AM152" s="89"/>
      <x:c r="AN152" s="24"/>
      <x:c r="AO152" s="91"/>
      <x:c r="AP152" s="24"/>
      <x:c r="AQ152" s="24"/>
      <x:c r="AR152" s="91"/>
      <x:c r="AS152" s="89"/>
      <x:c r="AT152" s="92"/>
      <x:c r="AU152" s="27"/>
      <x:c r="AV152" s="27"/>
      <x:c r="AW152" s="27"/>
      <x:c r="AX152" s="93"/>
      <x:c r="AY152" s="27"/>
      <x:c r="AZ152" s="27"/>
      <x:c r="BA152" s="94"/>
      <x:c r="BB152" s="82"/>
      <x:c r="BC152" s="80"/>
      <x:c r="BD152" s="83"/>
    </x:row>
    <x:row r="153">
      <x:c r="A153" s="80"/>
      <x:c r="B153" s="80"/>
      <x:c r="C153" s="25"/>
      <x:c r="D153" s="25"/>
      <x:c r="E153" s="80"/>
      <x:c r="F153" s="24"/>
      <x:c r="G153" s="24"/>
      <x:c r="H153" s="25"/>
      <x:c r="I153" s="80"/>
      <x:c r="J153" s="25"/>
      <x:c r="K153" s="89"/>
      <x:c r="L153" s="83"/>
      <x:c r="M153" s="24"/>
      <x:c r="N153" s="90"/>
      <x:c r="O153" s="90"/>
      <x:c r="P153" s="91"/>
      <x:c r="Q153" s="89"/>
      <x:c r="R153" s="91"/>
      <x:c r="S153" s="24"/>
      <x:c r="T153" s="24"/>
      <x:c r="U153" s="24"/>
      <x:c r="V153" s="83"/>
      <x:c r="W153" s="89"/>
      <x:c r="X153" s="91"/>
      <x:c r="Y153" s="91"/>
      <x:c r="Z153" s="91"/>
      <x:c r="AA153" s="24"/>
      <x:c r="AB153" s="24"/>
      <x:c r="AC153" s="24"/>
      <x:c r="AD153" s="24"/>
      <x:c r="AE153" s="89"/>
      <x:c r="AF153" s="91"/>
      <x:c r="AG153" s="83"/>
      <x:c r="AH153" s="83"/>
      <x:c r="AI153" s="83"/>
      <x:c r="AJ153" s="83"/>
      <x:c r="AK153" s="89"/>
      <x:c r="AL153" s="89"/>
      <x:c r="AM153" s="89"/>
      <x:c r="AN153" s="24"/>
      <x:c r="AO153" s="91"/>
      <x:c r="AP153" s="24"/>
      <x:c r="AQ153" s="24"/>
      <x:c r="AR153" s="91"/>
      <x:c r="AS153" s="89"/>
      <x:c r="AT153" s="92"/>
      <x:c r="AU153" s="27"/>
      <x:c r="AV153" s="27"/>
      <x:c r="AW153" s="27"/>
      <x:c r="AX153" s="93"/>
      <x:c r="AY153" s="27"/>
      <x:c r="AZ153" s="27"/>
      <x:c r="BA153" s="94"/>
      <x:c r="BB153" s="82"/>
      <x:c r="BC153" s="80"/>
      <x:c r="BD153" s="83"/>
    </x:row>
    <x:row r="154">
      <x:c r="A154" s="80"/>
      <x:c r="B154" s="80"/>
      <x:c r="C154" s="25"/>
      <x:c r="D154" s="25"/>
      <x:c r="E154" s="80"/>
      <x:c r="F154" s="24"/>
      <x:c r="G154" s="24"/>
      <x:c r="H154" s="25"/>
      <x:c r="I154" s="80"/>
      <x:c r="J154" s="25"/>
      <x:c r="K154" s="89"/>
      <x:c r="L154" s="83"/>
      <x:c r="M154" s="24"/>
      <x:c r="N154" s="90"/>
      <x:c r="O154" s="90"/>
      <x:c r="P154" s="91"/>
      <x:c r="Q154" s="89"/>
      <x:c r="R154" s="91"/>
      <x:c r="S154" s="24"/>
      <x:c r="T154" s="24"/>
      <x:c r="U154" s="24"/>
      <x:c r="V154" s="83"/>
      <x:c r="W154" s="89"/>
      <x:c r="X154" s="91"/>
      <x:c r="Y154" s="91"/>
      <x:c r="Z154" s="91"/>
      <x:c r="AA154" s="24"/>
      <x:c r="AB154" s="24"/>
      <x:c r="AC154" s="24"/>
      <x:c r="AD154" s="24"/>
      <x:c r="AE154" s="89"/>
      <x:c r="AF154" s="91"/>
      <x:c r="AG154" s="83"/>
      <x:c r="AH154" s="83"/>
      <x:c r="AI154" s="83"/>
      <x:c r="AJ154" s="83"/>
      <x:c r="AK154" s="89"/>
      <x:c r="AL154" s="89"/>
      <x:c r="AM154" s="89"/>
      <x:c r="AN154" s="24"/>
      <x:c r="AO154" s="91"/>
      <x:c r="AP154" s="24"/>
      <x:c r="AQ154" s="24"/>
      <x:c r="AR154" s="91"/>
      <x:c r="AS154" s="89"/>
      <x:c r="AT154" s="92"/>
      <x:c r="AU154" s="27"/>
      <x:c r="AV154" s="27"/>
      <x:c r="AW154" s="27"/>
      <x:c r="AX154" s="93"/>
      <x:c r="AY154" s="27"/>
      <x:c r="AZ154" s="27"/>
      <x:c r="BA154" s="94"/>
      <x:c r="BB154" s="82"/>
      <x:c r="BC154" s="80"/>
      <x:c r="BD154" s="83"/>
    </x:row>
    <x:row r="155">
      <x:c r="A155" s="80"/>
      <x:c r="B155" s="80"/>
      <x:c r="C155" s="25"/>
      <x:c r="D155" s="25"/>
      <x:c r="E155" s="80"/>
      <x:c r="F155" s="24"/>
      <x:c r="G155" s="24"/>
      <x:c r="H155" s="25"/>
      <x:c r="I155" s="80"/>
      <x:c r="J155" s="25"/>
      <x:c r="K155" s="89"/>
      <x:c r="L155" s="83"/>
      <x:c r="M155" s="24"/>
      <x:c r="N155" s="90"/>
      <x:c r="O155" s="90"/>
      <x:c r="P155" s="91"/>
      <x:c r="Q155" s="89"/>
      <x:c r="R155" s="91"/>
      <x:c r="S155" s="24"/>
      <x:c r="T155" s="24"/>
      <x:c r="U155" s="24"/>
      <x:c r="V155" s="83"/>
      <x:c r="W155" s="89"/>
      <x:c r="X155" s="91"/>
      <x:c r="Y155" s="91"/>
      <x:c r="Z155" s="91"/>
      <x:c r="AA155" s="24"/>
      <x:c r="AB155" s="24"/>
      <x:c r="AC155" s="24"/>
      <x:c r="AD155" s="24"/>
      <x:c r="AE155" s="89"/>
      <x:c r="AF155" s="91"/>
      <x:c r="AG155" s="83"/>
      <x:c r="AH155" s="83"/>
      <x:c r="AI155" s="83"/>
      <x:c r="AJ155" s="83"/>
      <x:c r="AK155" s="89"/>
      <x:c r="AL155" s="89"/>
      <x:c r="AM155" s="89"/>
      <x:c r="AN155" s="24"/>
      <x:c r="AO155" s="91"/>
      <x:c r="AP155" s="24"/>
      <x:c r="AQ155" s="24"/>
      <x:c r="AR155" s="91"/>
      <x:c r="AS155" s="89"/>
      <x:c r="AT155" s="92"/>
      <x:c r="AU155" s="27"/>
      <x:c r="AV155" s="27"/>
      <x:c r="AW155" s="27"/>
      <x:c r="AX155" s="93"/>
      <x:c r="AY155" s="27"/>
      <x:c r="AZ155" s="27"/>
      <x:c r="BA155" s="94"/>
      <x:c r="BB155" s="82"/>
      <x:c r="BC155" s="80"/>
      <x:c r="BD155" s="83"/>
    </x:row>
    <x:row r="156">
      <x:c r="A156" s="80"/>
      <x:c r="B156" s="80"/>
      <x:c r="C156" s="25"/>
      <x:c r="D156" s="25"/>
      <x:c r="E156" s="80"/>
      <x:c r="F156" s="24"/>
      <x:c r="G156" s="24"/>
      <x:c r="H156" s="25"/>
      <x:c r="I156" s="80"/>
      <x:c r="J156" s="25"/>
      <x:c r="K156" s="89"/>
      <x:c r="L156" s="83"/>
      <x:c r="M156" s="24"/>
      <x:c r="N156" s="90"/>
      <x:c r="O156" s="90"/>
      <x:c r="P156" s="91"/>
      <x:c r="Q156" s="89"/>
      <x:c r="R156" s="91"/>
      <x:c r="S156" s="24"/>
      <x:c r="T156" s="24"/>
      <x:c r="U156" s="24"/>
      <x:c r="V156" s="83"/>
      <x:c r="W156" s="89"/>
      <x:c r="X156" s="91"/>
      <x:c r="Y156" s="91"/>
      <x:c r="Z156" s="91"/>
      <x:c r="AA156" s="24"/>
      <x:c r="AB156" s="24"/>
      <x:c r="AC156" s="24"/>
      <x:c r="AD156" s="24"/>
      <x:c r="AE156" s="89"/>
      <x:c r="AF156" s="91"/>
      <x:c r="AG156" s="83"/>
      <x:c r="AH156" s="83"/>
      <x:c r="AI156" s="83"/>
      <x:c r="AJ156" s="83"/>
      <x:c r="AK156" s="89"/>
      <x:c r="AL156" s="89"/>
      <x:c r="AM156" s="89"/>
      <x:c r="AN156" s="24"/>
      <x:c r="AO156" s="91"/>
      <x:c r="AP156" s="24"/>
      <x:c r="AQ156" s="24"/>
      <x:c r="AR156" s="91"/>
      <x:c r="AS156" s="89"/>
      <x:c r="AT156" s="92"/>
      <x:c r="AU156" s="27"/>
      <x:c r="AV156" s="27"/>
      <x:c r="AW156" s="27"/>
      <x:c r="AX156" s="93"/>
      <x:c r="AY156" s="27"/>
      <x:c r="AZ156" s="27"/>
      <x:c r="BA156" s="94"/>
      <x:c r="BB156" s="82"/>
      <x:c r="BC156" s="80"/>
      <x:c r="BD156" s="83"/>
    </x:row>
    <x:row r="157">
      <x:c r="A157" s="80"/>
      <x:c r="B157" s="80"/>
      <x:c r="C157" s="25"/>
      <x:c r="D157" s="25"/>
      <x:c r="E157" s="80"/>
      <x:c r="F157" s="24"/>
      <x:c r="G157" s="24"/>
      <x:c r="H157" s="25"/>
      <x:c r="I157" s="80"/>
      <x:c r="J157" s="25"/>
      <x:c r="K157" s="89"/>
      <x:c r="L157" s="83"/>
      <x:c r="M157" s="24"/>
      <x:c r="N157" s="90"/>
      <x:c r="O157" s="90"/>
      <x:c r="P157" s="91"/>
      <x:c r="Q157" s="89"/>
      <x:c r="R157" s="91"/>
      <x:c r="S157" s="24"/>
      <x:c r="T157" s="24"/>
      <x:c r="U157" s="24"/>
      <x:c r="V157" s="83"/>
      <x:c r="W157" s="89"/>
      <x:c r="X157" s="91"/>
      <x:c r="Y157" s="91"/>
      <x:c r="Z157" s="91"/>
      <x:c r="AA157" s="24"/>
      <x:c r="AB157" s="24"/>
      <x:c r="AC157" s="24"/>
      <x:c r="AD157" s="24"/>
      <x:c r="AE157" s="89"/>
      <x:c r="AF157" s="91"/>
      <x:c r="AG157" s="83"/>
      <x:c r="AH157" s="83"/>
      <x:c r="AI157" s="83"/>
      <x:c r="AJ157" s="83"/>
      <x:c r="AK157" s="89"/>
      <x:c r="AL157" s="89"/>
      <x:c r="AM157" s="89"/>
      <x:c r="AN157" s="24"/>
      <x:c r="AO157" s="91"/>
      <x:c r="AP157" s="24"/>
      <x:c r="AQ157" s="24"/>
      <x:c r="AR157" s="91"/>
      <x:c r="AS157" s="89"/>
      <x:c r="AT157" s="92"/>
      <x:c r="AU157" s="27"/>
      <x:c r="AV157" s="27"/>
      <x:c r="AW157" s="27"/>
      <x:c r="AX157" s="93"/>
      <x:c r="AY157" s="27"/>
      <x:c r="AZ157" s="27"/>
      <x:c r="BA157" s="94"/>
      <x:c r="BB157" s="82"/>
      <x:c r="BC157" s="80"/>
      <x:c r="BD157" s="83"/>
    </x:row>
    <x:row r="158">
      <x:c r="A158" s="80"/>
      <x:c r="B158" s="80"/>
      <x:c r="C158" s="25"/>
      <x:c r="D158" s="25"/>
      <x:c r="E158" s="80"/>
      <x:c r="F158" s="24"/>
      <x:c r="G158" s="24"/>
      <x:c r="H158" s="25"/>
      <x:c r="I158" s="80"/>
      <x:c r="J158" s="25"/>
      <x:c r="K158" s="89"/>
      <x:c r="L158" s="83"/>
      <x:c r="M158" s="24"/>
      <x:c r="N158" s="90"/>
      <x:c r="O158" s="90"/>
      <x:c r="P158" s="91"/>
      <x:c r="Q158" s="89"/>
      <x:c r="R158" s="91"/>
      <x:c r="S158" s="24"/>
      <x:c r="T158" s="24"/>
      <x:c r="U158" s="24"/>
      <x:c r="V158" s="83"/>
      <x:c r="W158" s="89"/>
      <x:c r="X158" s="91"/>
      <x:c r="Y158" s="91"/>
      <x:c r="Z158" s="91"/>
      <x:c r="AA158" s="24"/>
      <x:c r="AB158" s="24"/>
      <x:c r="AC158" s="24"/>
      <x:c r="AD158" s="24"/>
      <x:c r="AE158" s="89"/>
      <x:c r="AF158" s="91"/>
      <x:c r="AG158" s="83"/>
      <x:c r="AH158" s="83"/>
      <x:c r="AI158" s="83"/>
      <x:c r="AJ158" s="83"/>
      <x:c r="AK158" s="89"/>
      <x:c r="AL158" s="89"/>
      <x:c r="AM158" s="89"/>
      <x:c r="AN158" s="24"/>
      <x:c r="AO158" s="91"/>
      <x:c r="AP158" s="24"/>
      <x:c r="AQ158" s="24"/>
      <x:c r="AR158" s="91"/>
      <x:c r="AS158" s="89"/>
      <x:c r="AT158" s="92"/>
      <x:c r="AU158" s="27"/>
      <x:c r="AV158" s="27"/>
      <x:c r="AW158" s="27"/>
      <x:c r="AX158" s="93"/>
      <x:c r="AY158" s="27"/>
      <x:c r="AZ158" s="27"/>
      <x:c r="BA158" s="94"/>
      <x:c r="BB158" s="82"/>
      <x:c r="BC158" s="80"/>
      <x:c r="BD158" s="83"/>
    </x:row>
    <x:row r="159">
      <x:c r="A159" s="80"/>
      <x:c r="B159" s="80"/>
      <x:c r="C159" s="25"/>
      <x:c r="D159" s="25"/>
      <x:c r="E159" s="80"/>
      <x:c r="F159" s="24"/>
      <x:c r="G159" s="24"/>
      <x:c r="H159" s="25"/>
      <x:c r="I159" s="80"/>
      <x:c r="J159" s="25"/>
      <x:c r="K159" s="89"/>
      <x:c r="L159" s="83"/>
      <x:c r="M159" s="24"/>
      <x:c r="N159" s="90"/>
      <x:c r="O159" s="90"/>
      <x:c r="P159" s="91"/>
      <x:c r="Q159" s="89"/>
      <x:c r="R159" s="91"/>
      <x:c r="S159" s="24"/>
      <x:c r="T159" s="24"/>
      <x:c r="U159" s="24"/>
      <x:c r="V159" s="83"/>
      <x:c r="W159" s="89"/>
      <x:c r="X159" s="91"/>
      <x:c r="Y159" s="91"/>
      <x:c r="Z159" s="91"/>
      <x:c r="AA159" s="24"/>
      <x:c r="AB159" s="24"/>
      <x:c r="AC159" s="24"/>
      <x:c r="AD159" s="24"/>
      <x:c r="AE159" s="89"/>
      <x:c r="AF159" s="91"/>
      <x:c r="AG159" s="83"/>
      <x:c r="AH159" s="83"/>
      <x:c r="AI159" s="83"/>
      <x:c r="AJ159" s="83"/>
      <x:c r="AK159" s="89"/>
      <x:c r="AL159" s="89"/>
      <x:c r="AM159" s="89"/>
      <x:c r="AN159" s="24"/>
      <x:c r="AO159" s="91"/>
      <x:c r="AP159" s="24"/>
      <x:c r="AQ159" s="24"/>
      <x:c r="AR159" s="91"/>
      <x:c r="AS159" s="89"/>
      <x:c r="AT159" s="92"/>
      <x:c r="AU159" s="27"/>
      <x:c r="AV159" s="27"/>
      <x:c r="AW159" s="27"/>
      <x:c r="AX159" s="93"/>
      <x:c r="AY159" s="27"/>
      <x:c r="AZ159" s="27"/>
      <x:c r="BA159" s="94"/>
      <x:c r="BB159" s="82"/>
      <x:c r="BC159" s="80"/>
      <x:c r="BD159" s="83"/>
    </x:row>
    <x:row r="160">
      <x:c r="A160" s="80"/>
      <x:c r="B160" s="80"/>
      <x:c r="C160" s="25"/>
      <x:c r="D160" s="25"/>
      <x:c r="E160" s="80"/>
      <x:c r="F160" s="24"/>
      <x:c r="G160" s="24"/>
      <x:c r="H160" s="25"/>
      <x:c r="I160" s="80"/>
      <x:c r="J160" s="25"/>
      <x:c r="K160" s="89"/>
      <x:c r="L160" s="83"/>
      <x:c r="M160" s="24"/>
      <x:c r="N160" s="90"/>
      <x:c r="O160" s="90"/>
      <x:c r="P160" s="91"/>
      <x:c r="Q160" s="89"/>
      <x:c r="R160" s="91"/>
      <x:c r="S160" s="24"/>
      <x:c r="T160" s="24"/>
      <x:c r="U160" s="24"/>
      <x:c r="V160" s="83"/>
      <x:c r="W160" s="89"/>
      <x:c r="X160" s="91"/>
      <x:c r="Y160" s="91"/>
      <x:c r="Z160" s="91"/>
      <x:c r="AA160" s="24"/>
      <x:c r="AB160" s="24"/>
      <x:c r="AC160" s="24"/>
      <x:c r="AD160" s="24"/>
      <x:c r="AE160" s="89"/>
      <x:c r="AF160" s="91"/>
      <x:c r="AG160" s="83"/>
      <x:c r="AH160" s="83"/>
      <x:c r="AI160" s="83"/>
      <x:c r="AJ160" s="83"/>
      <x:c r="AK160" s="89"/>
      <x:c r="AL160" s="89"/>
      <x:c r="AM160" s="89"/>
      <x:c r="AN160" s="24"/>
      <x:c r="AO160" s="91"/>
      <x:c r="AP160" s="24"/>
      <x:c r="AQ160" s="24"/>
      <x:c r="AR160" s="91"/>
      <x:c r="AS160" s="89"/>
      <x:c r="AT160" s="92"/>
      <x:c r="AU160" s="27"/>
      <x:c r="AV160" s="27"/>
      <x:c r="AW160" s="27"/>
      <x:c r="AX160" s="93"/>
      <x:c r="AY160" s="27"/>
      <x:c r="AZ160" s="27"/>
      <x:c r="BA160" s="94"/>
      <x:c r="BB160" s="82"/>
      <x:c r="BC160" s="80"/>
      <x:c r="BD160" s="83"/>
    </x:row>
    <x:row r="161">
      <x:c r="A161" s="80"/>
      <x:c r="B161" s="80"/>
      <x:c r="C161" s="25"/>
      <x:c r="D161" s="25"/>
      <x:c r="E161" s="80"/>
      <x:c r="F161" s="24"/>
      <x:c r="G161" s="24"/>
      <x:c r="H161" s="25"/>
      <x:c r="I161" s="80"/>
      <x:c r="J161" s="25"/>
      <x:c r="K161" s="89"/>
      <x:c r="L161" s="83"/>
      <x:c r="M161" s="24"/>
      <x:c r="N161" s="90"/>
      <x:c r="O161" s="90"/>
      <x:c r="P161" s="91"/>
      <x:c r="Q161" s="89"/>
      <x:c r="R161" s="91"/>
      <x:c r="S161" s="24"/>
      <x:c r="T161" s="24"/>
      <x:c r="U161" s="24"/>
      <x:c r="V161" s="83"/>
      <x:c r="W161" s="89"/>
      <x:c r="X161" s="91"/>
      <x:c r="Y161" s="91"/>
      <x:c r="Z161" s="91"/>
      <x:c r="AA161" s="24"/>
      <x:c r="AB161" s="24"/>
      <x:c r="AC161" s="24"/>
      <x:c r="AD161" s="24"/>
      <x:c r="AE161" s="89"/>
      <x:c r="AF161" s="91"/>
      <x:c r="AG161" s="83"/>
      <x:c r="AH161" s="83"/>
      <x:c r="AI161" s="83"/>
      <x:c r="AJ161" s="83"/>
      <x:c r="AK161" s="89"/>
      <x:c r="AL161" s="89"/>
      <x:c r="AM161" s="89"/>
      <x:c r="AN161" s="24"/>
      <x:c r="AO161" s="91"/>
      <x:c r="AP161" s="24"/>
      <x:c r="AQ161" s="24"/>
      <x:c r="AR161" s="91"/>
      <x:c r="AS161" s="89"/>
      <x:c r="AT161" s="92"/>
      <x:c r="AU161" s="27"/>
      <x:c r="AV161" s="27"/>
      <x:c r="AW161" s="27"/>
      <x:c r="AX161" s="93"/>
      <x:c r="AY161" s="27"/>
      <x:c r="AZ161" s="27"/>
      <x:c r="BA161" s="94"/>
      <x:c r="BB161" s="82"/>
      <x:c r="BC161" s="80"/>
      <x:c r="BD161" s="83"/>
    </x:row>
    <x:row r="162">
      <x:c r="A162" s="80"/>
      <x:c r="B162" s="80"/>
      <x:c r="C162" s="25"/>
      <x:c r="D162" s="25"/>
      <x:c r="E162" s="80"/>
      <x:c r="F162" s="24"/>
      <x:c r="G162" s="24"/>
      <x:c r="H162" s="25"/>
      <x:c r="I162" s="80"/>
      <x:c r="J162" s="25"/>
      <x:c r="K162" s="89"/>
      <x:c r="L162" s="83"/>
      <x:c r="M162" s="24"/>
      <x:c r="N162" s="90"/>
      <x:c r="O162" s="90"/>
      <x:c r="P162" s="91"/>
      <x:c r="Q162" s="89"/>
      <x:c r="R162" s="91"/>
      <x:c r="S162" s="24"/>
      <x:c r="T162" s="24"/>
      <x:c r="U162" s="24"/>
      <x:c r="V162" s="83"/>
      <x:c r="W162" s="89"/>
      <x:c r="X162" s="91"/>
      <x:c r="Y162" s="91"/>
      <x:c r="Z162" s="91"/>
      <x:c r="AA162" s="24"/>
      <x:c r="AB162" s="24"/>
      <x:c r="AC162" s="24"/>
      <x:c r="AD162" s="24"/>
      <x:c r="AE162" s="89"/>
      <x:c r="AF162" s="91"/>
      <x:c r="AG162" s="83"/>
      <x:c r="AH162" s="83"/>
      <x:c r="AI162" s="83"/>
      <x:c r="AJ162" s="83"/>
      <x:c r="AK162" s="89"/>
      <x:c r="AL162" s="89"/>
      <x:c r="AM162" s="89"/>
      <x:c r="AN162" s="24"/>
      <x:c r="AO162" s="91"/>
      <x:c r="AP162" s="24"/>
      <x:c r="AQ162" s="24"/>
      <x:c r="AR162" s="91"/>
      <x:c r="AS162" s="89"/>
      <x:c r="AT162" s="92"/>
      <x:c r="AU162" s="27"/>
      <x:c r="AV162" s="27"/>
      <x:c r="AW162" s="27"/>
      <x:c r="AX162" s="93"/>
      <x:c r="AY162" s="27"/>
      <x:c r="AZ162" s="27"/>
      <x:c r="BA162" s="94"/>
      <x:c r="BB162" s="82"/>
      <x:c r="BC162" s="80"/>
      <x:c r="BD162" s="83"/>
    </x:row>
    <x:row r="163">
      <x:c r="A163" s="80"/>
      <x:c r="B163" s="80"/>
      <x:c r="C163" s="25"/>
      <x:c r="D163" s="25"/>
      <x:c r="E163" s="80"/>
      <x:c r="F163" s="24"/>
      <x:c r="G163" s="24"/>
      <x:c r="H163" s="25"/>
      <x:c r="I163" s="80"/>
      <x:c r="J163" s="25"/>
      <x:c r="K163" s="89"/>
      <x:c r="L163" s="83"/>
      <x:c r="M163" s="24"/>
      <x:c r="N163" s="90"/>
      <x:c r="O163" s="90"/>
      <x:c r="P163" s="91"/>
      <x:c r="Q163" s="89"/>
      <x:c r="R163" s="91"/>
      <x:c r="S163" s="24"/>
      <x:c r="T163" s="24"/>
      <x:c r="U163" s="24"/>
      <x:c r="V163" s="83"/>
      <x:c r="W163" s="89"/>
      <x:c r="X163" s="91"/>
      <x:c r="Y163" s="91"/>
      <x:c r="Z163" s="91"/>
      <x:c r="AA163" s="24"/>
      <x:c r="AB163" s="24"/>
      <x:c r="AC163" s="24"/>
      <x:c r="AD163" s="24"/>
      <x:c r="AE163" s="89"/>
      <x:c r="AF163" s="91"/>
      <x:c r="AG163" s="83"/>
      <x:c r="AH163" s="83"/>
      <x:c r="AI163" s="83"/>
      <x:c r="AJ163" s="83"/>
      <x:c r="AK163" s="89"/>
      <x:c r="AL163" s="89"/>
      <x:c r="AM163" s="89"/>
      <x:c r="AN163" s="24"/>
      <x:c r="AO163" s="91"/>
      <x:c r="AP163" s="24"/>
      <x:c r="AQ163" s="24"/>
      <x:c r="AR163" s="91"/>
      <x:c r="AS163" s="89"/>
      <x:c r="AT163" s="92"/>
      <x:c r="AU163" s="27"/>
      <x:c r="AV163" s="27"/>
      <x:c r="AW163" s="27"/>
      <x:c r="AX163" s="93"/>
      <x:c r="AY163" s="27"/>
      <x:c r="AZ163" s="27"/>
      <x:c r="BA163" s="94"/>
      <x:c r="BB163" s="82"/>
      <x:c r="BC163" s="80"/>
      <x:c r="BD163" s="83"/>
    </x:row>
    <x:row r="164">
      <x:c r="A164" s="80"/>
      <x:c r="B164" s="80"/>
      <x:c r="C164" s="25"/>
      <x:c r="D164" s="25"/>
      <x:c r="E164" s="80"/>
      <x:c r="F164" s="24"/>
      <x:c r="G164" s="24"/>
      <x:c r="H164" s="25"/>
      <x:c r="I164" s="80"/>
      <x:c r="J164" s="25"/>
      <x:c r="K164" s="89"/>
      <x:c r="L164" s="83"/>
      <x:c r="M164" s="24"/>
      <x:c r="N164" s="90"/>
      <x:c r="O164" s="90"/>
      <x:c r="P164" s="91"/>
      <x:c r="Q164" s="89"/>
      <x:c r="R164" s="91"/>
      <x:c r="S164" s="24"/>
      <x:c r="T164" s="24"/>
      <x:c r="U164" s="24"/>
      <x:c r="V164" s="83"/>
      <x:c r="W164" s="89"/>
      <x:c r="X164" s="91"/>
      <x:c r="Y164" s="91"/>
      <x:c r="Z164" s="91"/>
      <x:c r="AA164" s="24"/>
      <x:c r="AB164" s="24"/>
      <x:c r="AC164" s="24"/>
      <x:c r="AD164" s="24"/>
      <x:c r="AE164" s="89"/>
      <x:c r="AF164" s="91"/>
      <x:c r="AG164" s="83"/>
      <x:c r="AH164" s="83"/>
      <x:c r="AI164" s="83"/>
      <x:c r="AJ164" s="83"/>
      <x:c r="AK164" s="89"/>
      <x:c r="AL164" s="89"/>
      <x:c r="AM164" s="89"/>
      <x:c r="AN164" s="24"/>
      <x:c r="AO164" s="91"/>
      <x:c r="AP164" s="24"/>
      <x:c r="AQ164" s="24"/>
      <x:c r="AR164" s="91"/>
      <x:c r="AS164" s="89"/>
      <x:c r="AT164" s="92"/>
      <x:c r="AU164" s="27"/>
      <x:c r="AV164" s="27"/>
      <x:c r="AW164" s="27"/>
      <x:c r="AX164" s="93"/>
      <x:c r="AY164" s="27"/>
      <x:c r="AZ164" s="27"/>
      <x:c r="BA164" s="94"/>
      <x:c r="BB164" s="82"/>
      <x:c r="BC164" s="80"/>
      <x:c r="BD164" s="83"/>
    </x:row>
    <x:row r="165">
      <x:c r="A165" s="80"/>
      <x:c r="B165" s="80"/>
      <x:c r="C165" s="25"/>
      <x:c r="D165" s="25"/>
      <x:c r="E165" s="80"/>
      <x:c r="F165" s="24"/>
      <x:c r="G165" s="24"/>
      <x:c r="H165" s="25"/>
      <x:c r="I165" s="80"/>
      <x:c r="J165" s="25"/>
      <x:c r="K165" s="89"/>
      <x:c r="L165" s="83"/>
      <x:c r="M165" s="24"/>
      <x:c r="N165" s="90"/>
      <x:c r="O165" s="90"/>
      <x:c r="P165" s="91"/>
      <x:c r="Q165" s="89"/>
      <x:c r="R165" s="91"/>
      <x:c r="S165" s="24"/>
      <x:c r="T165" s="24"/>
      <x:c r="U165" s="24"/>
      <x:c r="V165" s="83"/>
      <x:c r="W165" s="89"/>
      <x:c r="X165" s="91"/>
      <x:c r="Y165" s="91"/>
      <x:c r="Z165" s="91"/>
      <x:c r="AA165" s="24"/>
      <x:c r="AB165" s="24"/>
      <x:c r="AC165" s="24"/>
      <x:c r="AD165" s="24"/>
      <x:c r="AE165" s="89"/>
      <x:c r="AF165" s="91"/>
      <x:c r="AG165" s="83"/>
      <x:c r="AH165" s="83"/>
      <x:c r="AI165" s="83"/>
      <x:c r="AJ165" s="83"/>
      <x:c r="AK165" s="89"/>
      <x:c r="AL165" s="89"/>
      <x:c r="AM165" s="89"/>
      <x:c r="AN165" s="24"/>
      <x:c r="AO165" s="91"/>
      <x:c r="AP165" s="24"/>
      <x:c r="AQ165" s="24"/>
      <x:c r="AR165" s="91"/>
      <x:c r="AS165" s="89"/>
      <x:c r="AT165" s="92"/>
      <x:c r="AU165" s="27"/>
      <x:c r="AV165" s="27"/>
      <x:c r="AW165" s="27"/>
      <x:c r="AX165" s="93"/>
      <x:c r="AY165" s="27"/>
      <x:c r="AZ165" s="27"/>
      <x:c r="BA165" s="94"/>
      <x:c r="BB165" s="82"/>
      <x:c r="BC165" s="80"/>
      <x:c r="BD165" s="83"/>
    </x:row>
    <x:row r="166">
      <x:c r="A166" s="80"/>
      <x:c r="B166" s="80"/>
      <x:c r="C166" s="25"/>
      <x:c r="D166" s="25"/>
      <x:c r="E166" s="80"/>
      <x:c r="F166" s="24"/>
      <x:c r="G166" s="24"/>
      <x:c r="H166" s="25"/>
      <x:c r="I166" s="80"/>
      <x:c r="J166" s="25"/>
      <x:c r="K166" s="89"/>
      <x:c r="L166" s="83"/>
      <x:c r="M166" s="24"/>
      <x:c r="N166" s="90"/>
      <x:c r="O166" s="90"/>
      <x:c r="P166" s="91"/>
      <x:c r="Q166" s="89"/>
      <x:c r="R166" s="91"/>
      <x:c r="S166" s="24"/>
      <x:c r="T166" s="24"/>
      <x:c r="U166" s="24"/>
      <x:c r="V166" s="83"/>
      <x:c r="W166" s="89"/>
      <x:c r="X166" s="91"/>
      <x:c r="Y166" s="91"/>
      <x:c r="Z166" s="91"/>
      <x:c r="AA166" s="24"/>
      <x:c r="AB166" s="24"/>
      <x:c r="AC166" s="24"/>
      <x:c r="AD166" s="24"/>
      <x:c r="AE166" s="89"/>
      <x:c r="AF166" s="91"/>
      <x:c r="AG166" s="83"/>
      <x:c r="AH166" s="83"/>
      <x:c r="AI166" s="83"/>
      <x:c r="AJ166" s="83"/>
      <x:c r="AK166" s="89"/>
      <x:c r="AL166" s="89"/>
      <x:c r="AM166" s="89"/>
      <x:c r="AN166" s="24"/>
      <x:c r="AO166" s="91"/>
      <x:c r="AP166" s="24"/>
      <x:c r="AQ166" s="24"/>
      <x:c r="AR166" s="91"/>
      <x:c r="AS166" s="89"/>
      <x:c r="AT166" s="92"/>
      <x:c r="AU166" s="27"/>
      <x:c r="AV166" s="27"/>
      <x:c r="AW166" s="27"/>
      <x:c r="AX166" s="93"/>
      <x:c r="AY166" s="27"/>
      <x:c r="AZ166" s="27"/>
      <x:c r="BA166" s="94"/>
      <x:c r="BB166" s="82"/>
      <x:c r="BC166" s="80"/>
      <x:c r="BD166" s="83"/>
    </x:row>
    <x:row r="167">
      <x:c r="A167" s="80"/>
      <x:c r="B167" s="80"/>
      <x:c r="C167" s="25"/>
      <x:c r="D167" s="25"/>
      <x:c r="E167" s="80"/>
      <x:c r="F167" s="24"/>
      <x:c r="G167" s="24"/>
      <x:c r="H167" s="25"/>
      <x:c r="I167" s="80"/>
      <x:c r="J167" s="25"/>
      <x:c r="K167" s="89"/>
      <x:c r="L167" s="83"/>
      <x:c r="M167" s="24"/>
      <x:c r="N167" s="90"/>
      <x:c r="O167" s="90"/>
      <x:c r="P167" s="91"/>
      <x:c r="Q167" s="89"/>
      <x:c r="R167" s="91"/>
      <x:c r="S167" s="24"/>
      <x:c r="T167" s="24"/>
      <x:c r="U167" s="24"/>
      <x:c r="V167" s="83"/>
      <x:c r="W167" s="89"/>
      <x:c r="X167" s="91"/>
      <x:c r="Y167" s="91"/>
      <x:c r="Z167" s="91"/>
      <x:c r="AA167" s="24"/>
      <x:c r="AB167" s="24"/>
      <x:c r="AC167" s="24"/>
      <x:c r="AD167" s="24"/>
      <x:c r="AE167" s="89"/>
      <x:c r="AF167" s="91"/>
      <x:c r="AG167" s="83"/>
      <x:c r="AH167" s="83"/>
      <x:c r="AI167" s="83"/>
      <x:c r="AJ167" s="83"/>
      <x:c r="AK167" s="89"/>
      <x:c r="AL167" s="89"/>
      <x:c r="AM167" s="89"/>
      <x:c r="AN167" s="24"/>
      <x:c r="AO167" s="91"/>
      <x:c r="AP167" s="24"/>
      <x:c r="AQ167" s="24"/>
      <x:c r="AR167" s="91"/>
      <x:c r="AS167" s="89"/>
      <x:c r="AT167" s="92"/>
      <x:c r="AU167" s="27"/>
      <x:c r="AV167" s="27"/>
      <x:c r="AW167" s="27"/>
      <x:c r="AX167" s="93"/>
      <x:c r="AY167" s="27"/>
      <x:c r="AZ167" s="27"/>
      <x:c r="BA167" s="94"/>
      <x:c r="BB167" s="82"/>
      <x:c r="BC167" s="80"/>
      <x:c r="BD167" s="83"/>
    </x:row>
    <x:row r="168">
      <x:c r="A168" s="80"/>
      <x:c r="B168" s="80"/>
      <x:c r="C168" s="25"/>
      <x:c r="D168" s="25"/>
      <x:c r="E168" s="80"/>
      <x:c r="F168" s="24"/>
      <x:c r="G168" s="24"/>
      <x:c r="H168" s="25"/>
      <x:c r="I168" s="80"/>
      <x:c r="J168" s="25"/>
      <x:c r="K168" s="89"/>
      <x:c r="L168" s="83"/>
      <x:c r="M168" s="24"/>
      <x:c r="N168" s="90"/>
      <x:c r="O168" s="90"/>
      <x:c r="P168" s="91"/>
      <x:c r="Q168" s="89"/>
      <x:c r="R168" s="91"/>
      <x:c r="S168" s="24"/>
      <x:c r="T168" s="24"/>
      <x:c r="U168" s="24"/>
      <x:c r="V168" s="83"/>
      <x:c r="W168" s="89"/>
      <x:c r="X168" s="91"/>
      <x:c r="Y168" s="91"/>
      <x:c r="Z168" s="91"/>
      <x:c r="AA168" s="24"/>
      <x:c r="AB168" s="24"/>
      <x:c r="AC168" s="24"/>
      <x:c r="AD168" s="24"/>
      <x:c r="AE168" s="89"/>
      <x:c r="AF168" s="91"/>
      <x:c r="AG168" s="83"/>
      <x:c r="AH168" s="83"/>
      <x:c r="AI168" s="83"/>
      <x:c r="AJ168" s="83"/>
      <x:c r="AK168" s="89"/>
      <x:c r="AL168" s="89"/>
      <x:c r="AM168" s="89"/>
      <x:c r="AN168" s="24"/>
      <x:c r="AO168" s="91"/>
      <x:c r="AP168" s="24"/>
      <x:c r="AQ168" s="24"/>
      <x:c r="AR168" s="91"/>
      <x:c r="AS168" s="89"/>
      <x:c r="AT168" s="92"/>
      <x:c r="AU168" s="27"/>
      <x:c r="AV168" s="27"/>
      <x:c r="AW168" s="27"/>
      <x:c r="AX168" s="93"/>
      <x:c r="AY168" s="27"/>
      <x:c r="AZ168" s="27"/>
      <x:c r="BA168" s="94"/>
      <x:c r="BB168" s="82"/>
      <x:c r="BC168" s="80"/>
      <x:c r="BD168" s="83"/>
    </x:row>
    <x:row r="169">
      <x:c r="A169" s="80"/>
      <x:c r="B169" s="80"/>
      <x:c r="C169" s="25"/>
      <x:c r="D169" s="25"/>
      <x:c r="E169" s="80"/>
      <x:c r="F169" s="24"/>
      <x:c r="G169" s="24"/>
      <x:c r="H169" s="25"/>
      <x:c r="I169" s="80"/>
      <x:c r="J169" s="25"/>
      <x:c r="K169" s="89"/>
      <x:c r="L169" s="83"/>
      <x:c r="M169" s="24"/>
      <x:c r="N169" s="90"/>
      <x:c r="O169" s="90"/>
      <x:c r="P169" s="91"/>
      <x:c r="Q169" s="89"/>
      <x:c r="R169" s="91"/>
      <x:c r="S169" s="24"/>
      <x:c r="T169" s="24"/>
      <x:c r="U169" s="24"/>
      <x:c r="V169" s="83"/>
      <x:c r="W169" s="89"/>
      <x:c r="X169" s="91"/>
      <x:c r="Y169" s="91"/>
      <x:c r="Z169" s="91"/>
      <x:c r="AA169" s="24"/>
      <x:c r="AB169" s="24"/>
      <x:c r="AC169" s="24"/>
      <x:c r="AD169" s="24"/>
      <x:c r="AE169" s="89"/>
      <x:c r="AF169" s="91"/>
      <x:c r="AG169" s="83"/>
      <x:c r="AH169" s="83"/>
      <x:c r="AI169" s="83"/>
      <x:c r="AJ169" s="83"/>
      <x:c r="AK169" s="89"/>
      <x:c r="AL169" s="89"/>
      <x:c r="AM169" s="89"/>
      <x:c r="AN169" s="24"/>
      <x:c r="AO169" s="91"/>
      <x:c r="AP169" s="24"/>
      <x:c r="AQ169" s="24"/>
      <x:c r="AR169" s="91"/>
      <x:c r="AS169" s="89"/>
      <x:c r="AT169" s="92"/>
      <x:c r="AU169" s="27"/>
      <x:c r="AV169" s="27"/>
      <x:c r="AW169" s="27"/>
      <x:c r="AX169" s="93"/>
      <x:c r="AY169" s="27"/>
      <x:c r="AZ169" s="27"/>
      <x:c r="BA169" s="94"/>
      <x:c r="BB169" s="82"/>
      <x:c r="BC169" s="80"/>
      <x:c r="BD169" s="83"/>
    </x:row>
    <x:row r="170">
      <x:c r="A170" s="80"/>
      <x:c r="B170" s="80"/>
      <x:c r="C170" s="25"/>
      <x:c r="D170" s="25"/>
      <x:c r="E170" s="80"/>
      <x:c r="F170" s="24"/>
      <x:c r="G170" s="24"/>
      <x:c r="H170" s="25"/>
      <x:c r="I170" s="80"/>
      <x:c r="J170" s="25"/>
      <x:c r="K170" s="89"/>
      <x:c r="L170" s="83"/>
      <x:c r="M170" s="24"/>
      <x:c r="N170" s="90"/>
      <x:c r="O170" s="90"/>
      <x:c r="P170" s="91"/>
      <x:c r="Q170" s="89"/>
      <x:c r="R170" s="91"/>
      <x:c r="S170" s="24"/>
      <x:c r="T170" s="24"/>
      <x:c r="U170" s="24"/>
      <x:c r="V170" s="83"/>
      <x:c r="W170" s="89"/>
      <x:c r="X170" s="91"/>
      <x:c r="Y170" s="91"/>
      <x:c r="Z170" s="91"/>
      <x:c r="AA170" s="24"/>
      <x:c r="AB170" s="24"/>
      <x:c r="AC170" s="24"/>
      <x:c r="AD170" s="24"/>
      <x:c r="AE170" s="89"/>
      <x:c r="AF170" s="91"/>
      <x:c r="AG170" s="83"/>
      <x:c r="AH170" s="83"/>
      <x:c r="AI170" s="83"/>
      <x:c r="AJ170" s="83"/>
      <x:c r="AK170" s="89"/>
      <x:c r="AL170" s="89"/>
      <x:c r="AM170" s="89"/>
      <x:c r="AN170" s="24"/>
      <x:c r="AO170" s="91"/>
      <x:c r="AP170" s="24"/>
      <x:c r="AQ170" s="24"/>
      <x:c r="AR170" s="91"/>
      <x:c r="AS170" s="89"/>
      <x:c r="AT170" s="92"/>
      <x:c r="AU170" s="27"/>
      <x:c r="AV170" s="27"/>
      <x:c r="AW170" s="27"/>
      <x:c r="AX170" s="93"/>
      <x:c r="AY170" s="27"/>
      <x:c r="AZ170" s="27"/>
      <x:c r="BA170" s="94"/>
      <x:c r="BB170" s="82"/>
      <x:c r="BC170" s="80"/>
      <x:c r="BD170" s="83"/>
    </x:row>
    <x:row r="171">
      <x:c r="A171" s="80"/>
      <x:c r="B171" s="80"/>
      <x:c r="C171" s="25"/>
      <x:c r="D171" s="25"/>
      <x:c r="E171" s="80"/>
      <x:c r="F171" s="24"/>
      <x:c r="G171" s="24"/>
      <x:c r="H171" s="25"/>
      <x:c r="I171" s="80"/>
      <x:c r="J171" s="25"/>
      <x:c r="K171" s="89"/>
      <x:c r="L171" s="83"/>
      <x:c r="M171" s="24"/>
      <x:c r="N171" s="90"/>
      <x:c r="O171" s="90"/>
      <x:c r="P171" s="91"/>
      <x:c r="Q171" s="89"/>
      <x:c r="R171" s="91"/>
      <x:c r="S171" s="24"/>
      <x:c r="T171" s="24"/>
      <x:c r="U171" s="24"/>
      <x:c r="V171" s="83"/>
      <x:c r="W171" s="89"/>
      <x:c r="X171" s="91"/>
      <x:c r="Y171" s="91"/>
      <x:c r="Z171" s="91"/>
      <x:c r="AA171" s="24"/>
      <x:c r="AB171" s="24"/>
      <x:c r="AC171" s="24"/>
      <x:c r="AD171" s="24"/>
      <x:c r="AE171" s="89"/>
      <x:c r="AF171" s="91"/>
      <x:c r="AG171" s="83"/>
      <x:c r="AH171" s="83"/>
      <x:c r="AI171" s="83"/>
      <x:c r="AJ171" s="83"/>
      <x:c r="AK171" s="89"/>
      <x:c r="AL171" s="89"/>
      <x:c r="AM171" s="89"/>
      <x:c r="AN171" s="24"/>
      <x:c r="AO171" s="91"/>
      <x:c r="AP171" s="24"/>
      <x:c r="AQ171" s="24"/>
      <x:c r="AR171" s="91"/>
      <x:c r="AS171" s="89"/>
      <x:c r="AT171" s="92"/>
      <x:c r="AU171" s="27"/>
      <x:c r="AV171" s="27"/>
      <x:c r="AW171" s="27"/>
      <x:c r="AX171" s="93"/>
      <x:c r="AY171" s="27"/>
      <x:c r="AZ171" s="27"/>
      <x:c r="BA171" s="94"/>
      <x:c r="BB171" s="82"/>
      <x:c r="BC171" s="80"/>
      <x:c r="BD171" s="83"/>
    </x:row>
    <x:row r="172">
      <x:c r="A172" s="80"/>
      <x:c r="B172" s="80"/>
      <x:c r="C172" s="25"/>
      <x:c r="D172" s="25"/>
      <x:c r="E172" s="80"/>
      <x:c r="F172" s="24"/>
      <x:c r="G172" s="24"/>
      <x:c r="H172" s="25"/>
      <x:c r="I172" s="80"/>
      <x:c r="J172" s="25"/>
      <x:c r="K172" s="89"/>
      <x:c r="L172" s="83"/>
      <x:c r="M172" s="24"/>
      <x:c r="N172" s="90"/>
      <x:c r="O172" s="90"/>
      <x:c r="P172" s="91"/>
      <x:c r="Q172" s="89"/>
      <x:c r="R172" s="91"/>
      <x:c r="S172" s="24"/>
      <x:c r="T172" s="24"/>
      <x:c r="U172" s="24"/>
      <x:c r="V172" s="83"/>
      <x:c r="W172" s="89"/>
      <x:c r="X172" s="91"/>
      <x:c r="Y172" s="91"/>
      <x:c r="Z172" s="91"/>
      <x:c r="AA172" s="24"/>
      <x:c r="AB172" s="24"/>
      <x:c r="AC172" s="24"/>
      <x:c r="AD172" s="24"/>
      <x:c r="AE172" s="89"/>
      <x:c r="AF172" s="91"/>
      <x:c r="AG172" s="83"/>
      <x:c r="AH172" s="83"/>
      <x:c r="AI172" s="83"/>
      <x:c r="AJ172" s="83"/>
      <x:c r="AK172" s="89"/>
      <x:c r="AL172" s="89"/>
      <x:c r="AM172" s="89"/>
      <x:c r="AN172" s="24"/>
      <x:c r="AO172" s="91"/>
      <x:c r="AP172" s="24"/>
      <x:c r="AQ172" s="24"/>
      <x:c r="AR172" s="91"/>
      <x:c r="AS172" s="89"/>
      <x:c r="AT172" s="92"/>
      <x:c r="AU172" s="27"/>
      <x:c r="AV172" s="27"/>
      <x:c r="AW172" s="27"/>
      <x:c r="AX172" s="93"/>
      <x:c r="AY172" s="27"/>
      <x:c r="AZ172" s="27"/>
      <x:c r="BA172" s="94"/>
      <x:c r="BB172" s="82"/>
      <x:c r="BC172" s="80"/>
      <x:c r="BD172" s="83"/>
    </x:row>
    <x:row r="173">
      <x:c r="A173" s="80"/>
      <x:c r="B173" s="80"/>
      <x:c r="C173" s="25"/>
      <x:c r="D173" s="25"/>
      <x:c r="E173" s="80"/>
      <x:c r="F173" s="24"/>
      <x:c r="G173" s="24"/>
      <x:c r="H173" s="25"/>
      <x:c r="I173" s="80"/>
      <x:c r="J173" s="25"/>
      <x:c r="K173" s="89"/>
      <x:c r="L173" s="83"/>
      <x:c r="M173" s="24"/>
      <x:c r="N173" s="90"/>
      <x:c r="O173" s="90"/>
      <x:c r="P173" s="91"/>
      <x:c r="Q173" s="89"/>
      <x:c r="R173" s="91"/>
      <x:c r="S173" s="24"/>
      <x:c r="T173" s="24"/>
      <x:c r="U173" s="24"/>
      <x:c r="V173" s="83"/>
      <x:c r="W173" s="89"/>
      <x:c r="X173" s="91"/>
      <x:c r="Y173" s="91"/>
      <x:c r="Z173" s="91"/>
      <x:c r="AA173" s="24"/>
      <x:c r="AB173" s="24"/>
      <x:c r="AC173" s="24"/>
      <x:c r="AD173" s="24"/>
      <x:c r="AE173" s="89"/>
      <x:c r="AF173" s="91"/>
      <x:c r="AG173" s="83"/>
      <x:c r="AH173" s="83"/>
      <x:c r="AI173" s="83"/>
      <x:c r="AJ173" s="83"/>
      <x:c r="AK173" s="89"/>
      <x:c r="AL173" s="89"/>
      <x:c r="AM173" s="89"/>
      <x:c r="AN173" s="24"/>
      <x:c r="AO173" s="91"/>
      <x:c r="AP173" s="24"/>
      <x:c r="AQ173" s="24"/>
      <x:c r="AR173" s="91"/>
      <x:c r="AS173" s="89"/>
      <x:c r="AT173" s="92"/>
      <x:c r="AU173" s="27"/>
      <x:c r="AV173" s="27"/>
      <x:c r="AW173" s="27"/>
      <x:c r="AX173" s="93"/>
      <x:c r="AY173" s="27"/>
      <x:c r="AZ173" s="27"/>
      <x:c r="BA173" s="94"/>
      <x:c r="BB173" s="82"/>
      <x:c r="BC173" s="80"/>
      <x:c r="BD173" s="83"/>
    </x:row>
    <x:row r="174">
      <x:c r="A174" s="80"/>
      <x:c r="B174" s="80"/>
      <x:c r="C174" s="25"/>
      <x:c r="D174" s="25"/>
      <x:c r="E174" s="80"/>
      <x:c r="F174" s="24"/>
      <x:c r="G174" s="24"/>
      <x:c r="H174" s="25"/>
      <x:c r="I174" s="80"/>
      <x:c r="J174" s="25"/>
      <x:c r="K174" s="89"/>
      <x:c r="L174" s="83"/>
      <x:c r="M174" s="24"/>
      <x:c r="N174" s="90"/>
      <x:c r="O174" s="90"/>
      <x:c r="P174" s="91"/>
      <x:c r="Q174" s="89"/>
      <x:c r="R174" s="91"/>
      <x:c r="S174" s="24"/>
      <x:c r="T174" s="24"/>
      <x:c r="U174" s="24"/>
      <x:c r="V174" s="83"/>
      <x:c r="W174" s="89"/>
      <x:c r="X174" s="91"/>
      <x:c r="Y174" s="91"/>
      <x:c r="Z174" s="91"/>
      <x:c r="AA174" s="24"/>
      <x:c r="AB174" s="24"/>
      <x:c r="AC174" s="24"/>
      <x:c r="AD174" s="24"/>
      <x:c r="AE174" s="89"/>
      <x:c r="AF174" s="91"/>
      <x:c r="AG174" s="83"/>
      <x:c r="AH174" s="83"/>
      <x:c r="AI174" s="83"/>
      <x:c r="AJ174" s="83"/>
      <x:c r="AK174" s="89"/>
      <x:c r="AL174" s="89"/>
      <x:c r="AM174" s="89"/>
      <x:c r="AN174" s="24"/>
      <x:c r="AO174" s="91"/>
      <x:c r="AP174" s="24"/>
      <x:c r="AQ174" s="24"/>
      <x:c r="AR174" s="91"/>
      <x:c r="AS174" s="89"/>
      <x:c r="AT174" s="92"/>
      <x:c r="AU174" s="27"/>
      <x:c r="AV174" s="27"/>
      <x:c r="AW174" s="27"/>
      <x:c r="AX174" s="93"/>
      <x:c r="AY174" s="27"/>
      <x:c r="AZ174" s="27"/>
      <x:c r="BA174" s="94"/>
      <x:c r="BB174" s="82"/>
      <x:c r="BC174" s="80"/>
      <x:c r="BD174" s="83"/>
    </x:row>
    <x:row r="175">
      <x:c r="A175" s="80"/>
      <x:c r="B175" s="80"/>
      <x:c r="C175" s="25"/>
      <x:c r="D175" s="25"/>
      <x:c r="E175" s="80"/>
      <x:c r="F175" s="24"/>
      <x:c r="G175" s="24"/>
      <x:c r="H175" s="25"/>
      <x:c r="I175" s="80"/>
      <x:c r="J175" s="25"/>
      <x:c r="K175" s="89"/>
      <x:c r="L175" s="83"/>
      <x:c r="M175" s="24"/>
      <x:c r="N175" s="90"/>
      <x:c r="O175" s="90"/>
      <x:c r="P175" s="91"/>
      <x:c r="Q175" s="89"/>
      <x:c r="R175" s="91"/>
      <x:c r="S175" s="24"/>
      <x:c r="T175" s="24"/>
      <x:c r="U175" s="24"/>
      <x:c r="V175" s="83"/>
      <x:c r="W175" s="89"/>
      <x:c r="X175" s="91"/>
      <x:c r="Y175" s="91"/>
      <x:c r="Z175" s="91"/>
      <x:c r="AA175" s="24"/>
      <x:c r="AB175" s="24"/>
      <x:c r="AC175" s="24"/>
      <x:c r="AD175" s="24"/>
      <x:c r="AE175" s="89"/>
      <x:c r="AF175" s="91"/>
      <x:c r="AG175" s="83"/>
      <x:c r="AH175" s="83"/>
      <x:c r="AI175" s="83"/>
      <x:c r="AJ175" s="83"/>
      <x:c r="AK175" s="89"/>
      <x:c r="AL175" s="89"/>
      <x:c r="AM175" s="89"/>
      <x:c r="AN175" s="24"/>
      <x:c r="AO175" s="91"/>
      <x:c r="AP175" s="24"/>
      <x:c r="AQ175" s="24"/>
      <x:c r="AR175" s="91"/>
      <x:c r="AS175" s="89"/>
      <x:c r="AT175" s="92"/>
      <x:c r="AU175" s="27"/>
      <x:c r="AV175" s="27"/>
      <x:c r="AW175" s="27"/>
      <x:c r="AX175" s="93"/>
      <x:c r="AY175" s="27"/>
      <x:c r="AZ175" s="27"/>
      <x:c r="BA175" s="94"/>
      <x:c r="BB175" s="82"/>
      <x:c r="BC175" s="80"/>
      <x:c r="BD175" s="83"/>
    </x:row>
    <x:row r="176">
      <x:c r="A176" s="80"/>
      <x:c r="B176" s="80"/>
      <x:c r="C176" s="25"/>
      <x:c r="D176" s="25"/>
      <x:c r="E176" s="80"/>
      <x:c r="F176" s="24"/>
      <x:c r="G176" s="24"/>
      <x:c r="H176" s="25"/>
      <x:c r="I176" s="80"/>
      <x:c r="J176" s="25"/>
      <x:c r="K176" s="89"/>
      <x:c r="L176" s="83"/>
      <x:c r="M176" s="24"/>
      <x:c r="N176" s="90"/>
      <x:c r="O176" s="90"/>
      <x:c r="P176" s="91"/>
      <x:c r="Q176" s="89"/>
      <x:c r="R176" s="91"/>
      <x:c r="S176" s="24"/>
      <x:c r="T176" s="24"/>
      <x:c r="U176" s="24"/>
      <x:c r="V176" s="83"/>
      <x:c r="W176" s="89"/>
      <x:c r="X176" s="91"/>
      <x:c r="Y176" s="91"/>
      <x:c r="Z176" s="91"/>
      <x:c r="AA176" s="24"/>
      <x:c r="AB176" s="24"/>
      <x:c r="AC176" s="24"/>
      <x:c r="AD176" s="24"/>
      <x:c r="AE176" s="89"/>
      <x:c r="AF176" s="91"/>
      <x:c r="AG176" s="83"/>
      <x:c r="AH176" s="83"/>
      <x:c r="AI176" s="83"/>
      <x:c r="AJ176" s="83"/>
      <x:c r="AK176" s="89"/>
      <x:c r="AL176" s="89"/>
      <x:c r="AM176" s="89"/>
      <x:c r="AN176" s="24"/>
      <x:c r="AO176" s="91"/>
      <x:c r="AP176" s="24"/>
      <x:c r="AQ176" s="24"/>
      <x:c r="AR176" s="91"/>
      <x:c r="AS176" s="89"/>
      <x:c r="AT176" s="92"/>
      <x:c r="AU176" s="27"/>
      <x:c r="AV176" s="27"/>
      <x:c r="AW176" s="27"/>
      <x:c r="AX176" s="93"/>
      <x:c r="AY176" s="27"/>
      <x:c r="AZ176" s="27"/>
      <x:c r="BA176" s="94"/>
      <x:c r="BB176" s="82"/>
      <x:c r="BC176" s="80"/>
      <x:c r="BD176" s="83"/>
    </x:row>
    <x:row r="177">
      <x:c r="A177" s="80"/>
      <x:c r="B177" s="80"/>
      <x:c r="C177" s="25"/>
      <x:c r="D177" s="25"/>
      <x:c r="E177" s="80"/>
      <x:c r="F177" s="24"/>
      <x:c r="G177" s="24"/>
      <x:c r="H177" s="25"/>
      <x:c r="I177" s="80"/>
      <x:c r="J177" s="25"/>
      <x:c r="K177" s="89"/>
      <x:c r="L177" s="83"/>
      <x:c r="M177" s="24"/>
      <x:c r="N177" s="90"/>
      <x:c r="O177" s="90"/>
      <x:c r="P177" s="91"/>
      <x:c r="Q177" s="89"/>
      <x:c r="R177" s="91"/>
      <x:c r="S177" s="24"/>
      <x:c r="T177" s="24"/>
      <x:c r="U177" s="24"/>
      <x:c r="V177" s="83"/>
      <x:c r="W177" s="89"/>
      <x:c r="X177" s="91"/>
      <x:c r="Y177" s="91"/>
      <x:c r="Z177" s="91"/>
      <x:c r="AA177" s="24"/>
      <x:c r="AB177" s="24"/>
      <x:c r="AC177" s="24"/>
      <x:c r="AD177" s="24"/>
      <x:c r="AE177" s="89"/>
      <x:c r="AF177" s="91"/>
      <x:c r="AG177" s="83"/>
      <x:c r="AH177" s="83"/>
      <x:c r="AI177" s="83"/>
      <x:c r="AJ177" s="83"/>
      <x:c r="AK177" s="89"/>
      <x:c r="AL177" s="89"/>
      <x:c r="AM177" s="89"/>
      <x:c r="AN177" s="24"/>
      <x:c r="AO177" s="91"/>
      <x:c r="AP177" s="24"/>
      <x:c r="AQ177" s="24"/>
      <x:c r="AR177" s="91"/>
      <x:c r="AS177" s="89"/>
      <x:c r="AT177" s="92"/>
      <x:c r="AU177" s="27"/>
      <x:c r="AV177" s="27"/>
      <x:c r="AW177" s="27"/>
      <x:c r="AX177" s="93"/>
      <x:c r="AY177" s="27"/>
      <x:c r="AZ177" s="27"/>
      <x:c r="BA177" s="94"/>
      <x:c r="BB177" s="82"/>
      <x:c r="BC177" s="80"/>
      <x:c r="BD177" s="83"/>
    </x:row>
    <x:row r="178">
      <x:c r="A178" s="80"/>
      <x:c r="B178" s="80"/>
      <x:c r="C178" s="25"/>
      <x:c r="D178" s="25"/>
      <x:c r="E178" s="80"/>
      <x:c r="F178" s="24"/>
      <x:c r="G178" s="24"/>
      <x:c r="H178" s="25"/>
      <x:c r="I178" s="80"/>
      <x:c r="J178" s="25"/>
      <x:c r="K178" s="89"/>
      <x:c r="L178" s="83"/>
      <x:c r="M178" s="24"/>
      <x:c r="N178" s="90"/>
      <x:c r="O178" s="90"/>
      <x:c r="P178" s="91"/>
      <x:c r="Q178" s="89"/>
      <x:c r="R178" s="91"/>
      <x:c r="S178" s="24"/>
      <x:c r="T178" s="24"/>
      <x:c r="U178" s="24"/>
      <x:c r="V178" s="83"/>
      <x:c r="W178" s="89"/>
      <x:c r="X178" s="91"/>
      <x:c r="Y178" s="91"/>
      <x:c r="Z178" s="91"/>
      <x:c r="AA178" s="24"/>
      <x:c r="AB178" s="24"/>
      <x:c r="AC178" s="24"/>
      <x:c r="AD178" s="24"/>
      <x:c r="AE178" s="89"/>
      <x:c r="AF178" s="91"/>
      <x:c r="AG178" s="83"/>
      <x:c r="AH178" s="83"/>
      <x:c r="AI178" s="83"/>
      <x:c r="AJ178" s="83"/>
      <x:c r="AK178" s="89"/>
      <x:c r="AL178" s="89"/>
      <x:c r="AM178" s="89"/>
      <x:c r="AN178" s="24"/>
      <x:c r="AO178" s="91"/>
      <x:c r="AP178" s="24"/>
      <x:c r="AQ178" s="24"/>
      <x:c r="AR178" s="91"/>
      <x:c r="AS178" s="89"/>
      <x:c r="AT178" s="92"/>
      <x:c r="AU178" s="27"/>
      <x:c r="AV178" s="27"/>
      <x:c r="AW178" s="27"/>
      <x:c r="AX178" s="93"/>
      <x:c r="AY178" s="27"/>
      <x:c r="AZ178" s="27"/>
      <x:c r="BA178" s="94"/>
      <x:c r="BB178" s="82"/>
      <x:c r="BC178" s="80"/>
      <x:c r="BD178" s="83"/>
    </x:row>
    <x:row r="179">
      <x:c r="A179" s="80"/>
      <x:c r="B179" s="80"/>
      <x:c r="C179" s="25"/>
      <x:c r="D179" s="25"/>
      <x:c r="E179" s="80"/>
      <x:c r="F179" s="24"/>
      <x:c r="G179" s="24"/>
      <x:c r="H179" s="25"/>
      <x:c r="I179" s="80"/>
      <x:c r="J179" s="25"/>
      <x:c r="K179" s="89"/>
      <x:c r="L179" s="83"/>
      <x:c r="M179" s="24"/>
      <x:c r="N179" s="90"/>
      <x:c r="O179" s="90"/>
      <x:c r="P179" s="91"/>
      <x:c r="Q179" s="89"/>
      <x:c r="R179" s="91"/>
      <x:c r="S179" s="24"/>
      <x:c r="T179" s="24"/>
      <x:c r="U179" s="24"/>
      <x:c r="V179" s="83"/>
      <x:c r="W179" s="89"/>
      <x:c r="X179" s="91"/>
      <x:c r="Y179" s="91"/>
      <x:c r="Z179" s="91"/>
      <x:c r="AA179" s="24"/>
      <x:c r="AB179" s="24"/>
      <x:c r="AC179" s="24"/>
      <x:c r="AD179" s="24"/>
      <x:c r="AE179" s="89"/>
      <x:c r="AF179" s="91"/>
      <x:c r="AG179" s="83"/>
      <x:c r="AH179" s="83"/>
      <x:c r="AI179" s="83"/>
      <x:c r="AJ179" s="83"/>
      <x:c r="AK179" s="89"/>
      <x:c r="AL179" s="89"/>
      <x:c r="AM179" s="89"/>
      <x:c r="AN179" s="24"/>
      <x:c r="AO179" s="91"/>
      <x:c r="AP179" s="24"/>
      <x:c r="AQ179" s="24"/>
      <x:c r="AR179" s="91"/>
      <x:c r="AS179" s="89"/>
      <x:c r="AT179" s="92"/>
      <x:c r="AU179" s="27"/>
      <x:c r="AV179" s="27"/>
      <x:c r="AW179" s="27"/>
      <x:c r="AX179" s="93"/>
      <x:c r="AY179" s="27"/>
      <x:c r="AZ179" s="27"/>
      <x:c r="BA179" s="94"/>
      <x:c r="BB179" s="82"/>
      <x:c r="BC179" s="80"/>
      <x:c r="BD179" s="83"/>
    </x:row>
    <x:row r="180">
      <x:c r="A180" s="80"/>
      <x:c r="B180" s="80"/>
      <x:c r="C180" s="25"/>
      <x:c r="D180" s="25"/>
      <x:c r="E180" s="80"/>
      <x:c r="F180" s="24"/>
      <x:c r="G180" s="24"/>
      <x:c r="H180" s="25"/>
      <x:c r="I180" s="80"/>
      <x:c r="J180" s="25"/>
      <x:c r="K180" s="89"/>
      <x:c r="L180" s="83"/>
      <x:c r="M180" s="24"/>
      <x:c r="N180" s="90"/>
      <x:c r="O180" s="90"/>
      <x:c r="P180" s="91"/>
      <x:c r="Q180" s="89"/>
      <x:c r="R180" s="91"/>
      <x:c r="S180" s="24"/>
      <x:c r="T180" s="24"/>
      <x:c r="U180" s="24"/>
      <x:c r="V180" s="83"/>
      <x:c r="W180" s="89"/>
      <x:c r="X180" s="91"/>
      <x:c r="Y180" s="91"/>
      <x:c r="Z180" s="91"/>
      <x:c r="AA180" s="24"/>
      <x:c r="AB180" s="24"/>
      <x:c r="AC180" s="24"/>
      <x:c r="AD180" s="24"/>
      <x:c r="AE180" s="89"/>
      <x:c r="AF180" s="91"/>
      <x:c r="AG180" s="83"/>
      <x:c r="AH180" s="83"/>
      <x:c r="AI180" s="83"/>
      <x:c r="AJ180" s="83"/>
      <x:c r="AK180" s="89"/>
      <x:c r="AL180" s="89"/>
      <x:c r="AM180" s="89"/>
      <x:c r="AN180" s="24"/>
      <x:c r="AO180" s="91"/>
      <x:c r="AP180" s="24"/>
      <x:c r="AQ180" s="24"/>
      <x:c r="AR180" s="91"/>
      <x:c r="AS180" s="89"/>
      <x:c r="AT180" s="92"/>
      <x:c r="AU180" s="27"/>
      <x:c r="AV180" s="27"/>
      <x:c r="AW180" s="27"/>
      <x:c r="AX180" s="93"/>
      <x:c r="AY180" s="27"/>
      <x:c r="AZ180" s="27"/>
      <x:c r="BA180" s="94"/>
      <x:c r="BB180" s="82"/>
      <x:c r="BC180" s="80"/>
      <x:c r="BD180" s="83"/>
    </x:row>
    <x:row r="181">
      <x:c r="A181" s="80"/>
      <x:c r="B181" s="80"/>
      <x:c r="C181" s="25"/>
      <x:c r="D181" s="25"/>
      <x:c r="E181" s="80"/>
      <x:c r="F181" s="24"/>
      <x:c r="G181" s="24"/>
      <x:c r="H181" s="25"/>
      <x:c r="I181" s="80"/>
      <x:c r="J181" s="25"/>
      <x:c r="K181" s="89"/>
      <x:c r="L181" s="83"/>
      <x:c r="M181" s="24"/>
      <x:c r="N181" s="90"/>
      <x:c r="O181" s="90"/>
      <x:c r="P181" s="91"/>
      <x:c r="Q181" s="89"/>
      <x:c r="R181" s="91"/>
      <x:c r="S181" s="24"/>
      <x:c r="T181" s="24"/>
      <x:c r="U181" s="24"/>
      <x:c r="V181" s="83"/>
      <x:c r="W181" s="89"/>
      <x:c r="X181" s="91"/>
      <x:c r="Y181" s="91"/>
      <x:c r="Z181" s="91"/>
      <x:c r="AA181" s="24"/>
      <x:c r="AB181" s="24"/>
      <x:c r="AC181" s="24"/>
      <x:c r="AD181" s="24"/>
      <x:c r="AE181" s="89"/>
      <x:c r="AF181" s="91"/>
      <x:c r="AG181" s="83"/>
      <x:c r="AH181" s="83"/>
      <x:c r="AI181" s="83"/>
      <x:c r="AJ181" s="83"/>
      <x:c r="AK181" s="89"/>
      <x:c r="AL181" s="89"/>
      <x:c r="AM181" s="89"/>
      <x:c r="AN181" s="24"/>
      <x:c r="AO181" s="91"/>
      <x:c r="AP181" s="24"/>
      <x:c r="AQ181" s="24"/>
      <x:c r="AR181" s="91"/>
      <x:c r="AS181" s="89"/>
      <x:c r="AT181" s="92"/>
      <x:c r="AU181" s="27"/>
      <x:c r="AV181" s="27"/>
      <x:c r="AW181" s="27"/>
      <x:c r="AX181" s="93"/>
      <x:c r="AY181" s="27"/>
      <x:c r="AZ181" s="27"/>
      <x:c r="BA181" s="94"/>
      <x:c r="BB181" s="82"/>
      <x:c r="BC181" s="80"/>
      <x:c r="BD181" s="83"/>
    </x:row>
    <x:row r="182">
      <x:c r="A182" s="80"/>
      <x:c r="B182" s="80"/>
      <x:c r="C182" s="25"/>
      <x:c r="D182" s="25"/>
      <x:c r="E182" s="80"/>
      <x:c r="F182" s="24"/>
      <x:c r="G182" s="24"/>
      <x:c r="H182" s="25"/>
      <x:c r="I182" s="80"/>
      <x:c r="J182" s="25"/>
      <x:c r="K182" s="89"/>
      <x:c r="L182" s="83"/>
      <x:c r="M182" s="24"/>
      <x:c r="N182" s="90"/>
      <x:c r="O182" s="90"/>
      <x:c r="P182" s="91"/>
      <x:c r="Q182" s="89"/>
      <x:c r="R182" s="91"/>
      <x:c r="S182" s="24"/>
      <x:c r="T182" s="24"/>
      <x:c r="U182" s="24"/>
      <x:c r="V182" s="83"/>
      <x:c r="W182" s="89"/>
      <x:c r="X182" s="91"/>
      <x:c r="Y182" s="91"/>
      <x:c r="Z182" s="91"/>
      <x:c r="AA182" s="24"/>
      <x:c r="AB182" s="24"/>
      <x:c r="AC182" s="24"/>
      <x:c r="AD182" s="24"/>
      <x:c r="AE182" s="89"/>
      <x:c r="AF182" s="91"/>
      <x:c r="AG182" s="83"/>
      <x:c r="AH182" s="83"/>
      <x:c r="AI182" s="83"/>
      <x:c r="AJ182" s="83"/>
      <x:c r="AK182" s="89"/>
      <x:c r="AL182" s="89"/>
      <x:c r="AM182" s="89"/>
      <x:c r="AN182" s="24"/>
      <x:c r="AO182" s="91"/>
      <x:c r="AP182" s="24"/>
      <x:c r="AQ182" s="24"/>
      <x:c r="AR182" s="91"/>
      <x:c r="AS182" s="89"/>
      <x:c r="AT182" s="92"/>
      <x:c r="AU182" s="27"/>
      <x:c r="AV182" s="27"/>
      <x:c r="AW182" s="27"/>
      <x:c r="AX182" s="93"/>
      <x:c r="AY182" s="27"/>
      <x:c r="AZ182" s="27"/>
      <x:c r="BA182" s="94"/>
      <x:c r="BB182" s="82"/>
      <x:c r="BC182" s="80"/>
      <x:c r="BD182" s="83"/>
    </x:row>
    <x:row r="183">
      <x:c r="A183" s="80"/>
      <x:c r="B183" s="80"/>
      <x:c r="C183" s="25"/>
      <x:c r="D183" s="25"/>
      <x:c r="E183" s="80"/>
      <x:c r="F183" s="24"/>
      <x:c r="G183" s="24"/>
      <x:c r="H183" s="25"/>
      <x:c r="I183" s="80"/>
      <x:c r="J183" s="25"/>
      <x:c r="K183" s="89"/>
      <x:c r="L183" s="83"/>
      <x:c r="M183" s="24"/>
      <x:c r="N183" s="90"/>
      <x:c r="O183" s="90"/>
      <x:c r="P183" s="91"/>
      <x:c r="Q183" s="89"/>
      <x:c r="R183" s="91"/>
      <x:c r="S183" s="24"/>
      <x:c r="T183" s="24"/>
      <x:c r="U183" s="24"/>
      <x:c r="V183" s="83"/>
      <x:c r="W183" s="89"/>
      <x:c r="X183" s="91"/>
      <x:c r="Y183" s="91"/>
      <x:c r="Z183" s="91"/>
      <x:c r="AA183" s="24"/>
      <x:c r="AB183" s="24"/>
      <x:c r="AC183" s="24"/>
      <x:c r="AD183" s="24"/>
      <x:c r="AE183" s="89"/>
      <x:c r="AF183" s="91"/>
      <x:c r="AG183" s="83"/>
      <x:c r="AH183" s="83"/>
      <x:c r="AI183" s="83"/>
      <x:c r="AJ183" s="83"/>
      <x:c r="AK183" s="89"/>
      <x:c r="AL183" s="89"/>
      <x:c r="AM183" s="89"/>
      <x:c r="AN183" s="24"/>
      <x:c r="AO183" s="91"/>
      <x:c r="AP183" s="24"/>
      <x:c r="AQ183" s="24"/>
      <x:c r="AR183" s="91"/>
      <x:c r="AS183" s="89"/>
      <x:c r="AT183" s="92"/>
      <x:c r="AU183" s="27"/>
      <x:c r="AV183" s="27"/>
      <x:c r="AW183" s="27"/>
      <x:c r="AX183" s="93"/>
      <x:c r="AY183" s="27"/>
      <x:c r="AZ183" s="27"/>
      <x:c r="BA183" s="94"/>
      <x:c r="BB183" s="82"/>
      <x:c r="BC183" s="80"/>
      <x:c r="BD183" s="83"/>
    </x:row>
    <x:row r="184">
      <x:c r="A184" s="80"/>
      <x:c r="B184" s="80"/>
      <x:c r="C184" s="25"/>
      <x:c r="D184" s="25"/>
      <x:c r="E184" s="80"/>
      <x:c r="F184" s="24"/>
      <x:c r="G184" s="24"/>
      <x:c r="H184" s="25"/>
      <x:c r="I184" s="80"/>
      <x:c r="J184" s="25"/>
      <x:c r="K184" s="89"/>
      <x:c r="L184" s="83"/>
      <x:c r="M184" s="24"/>
      <x:c r="N184" s="90"/>
      <x:c r="O184" s="90"/>
      <x:c r="P184" s="91"/>
      <x:c r="Q184" s="89"/>
      <x:c r="R184" s="91"/>
      <x:c r="S184" s="24"/>
      <x:c r="T184" s="24"/>
      <x:c r="U184" s="24"/>
      <x:c r="V184" s="83"/>
      <x:c r="W184" s="89"/>
      <x:c r="X184" s="91"/>
      <x:c r="Y184" s="91"/>
      <x:c r="Z184" s="91"/>
      <x:c r="AA184" s="24"/>
      <x:c r="AB184" s="24"/>
      <x:c r="AC184" s="24"/>
      <x:c r="AD184" s="24"/>
      <x:c r="AE184" s="89"/>
      <x:c r="AF184" s="91"/>
      <x:c r="AG184" s="83"/>
      <x:c r="AH184" s="83"/>
      <x:c r="AI184" s="83"/>
      <x:c r="AJ184" s="83"/>
      <x:c r="AK184" s="89"/>
      <x:c r="AL184" s="89"/>
      <x:c r="AM184" s="89"/>
      <x:c r="AN184" s="24"/>
      <x:c r="AO184" s="91"/>
      <x:c r="AP184" s="24"/>
      <x:c r="AQ184" s="24"/>
      <x:c r="AR184" s="91"/>
      <x:c r="AS184" s="89"/>
      <x:c r="AT184" s="92"/>
      <x:c r="AU184" s="27"/>
      <x:c r="AV184" s="27"/>
      <x:c r="AW184" s="27"/>
      <x:c r="AX184" s="93"/>
      <x:c r="AY184" s="27"/>
      <x:c r="AZ184" s="27"/>
      <x:c r="BA184" s="94"/>
      <x:c r="BB184" s="82"/>
      <x:c r="BC184" s="80"/>
      <x:c r="BD184" s="83"/>
    </x:row>
    <x:row r="185">
      <x:c r="A185" s="80"/>
      <x:c r="B185" s="80"/>
      <x:c r="C185" s="25"/>
      <x:c r="D185" s="25"/>
      <x:c r="E185" s="80"/>
      <x:c r="F185" s="24"/>
      <x:c r="G185" s="24"/>
      <x:c r="H185" s="25"/>
      <x:c r="I185" s="80"/>
      <x:c r="J185" s="25"/>
      <x:c r="K185" s="89"/>
      <x:c r="L185" s="83"/>
      <x:c r="M185" s="24"/>
      <x:c r="N185" s="90"/>
      <x:c r="O185" s="90"/>
      <x:c r="P185" s="91"/>
      <x:c r="Q185" s="89"/>
      <x:c r="R185" s="91"/>
      <x:c r="S185" s="24"/>
      <x:c r="T185" s="24"/>
      <x:c r="U185" s="24"/>
      <x:c r="V185" s="83"/>
      <x:c r="W185" s="89"/>
      <x:c r="X185" s="91"/>
      <x:c r="Y185" s="91"/>
      <x:c r="Z185" s="91"/>
      <x:c r="AA185" s="24"/>
      <x:c r="AB185" s="24"/>
      <x:c r="AC185" s="24"/>
      <x:c r="AD185" s="24"/>
      <x:c r="AE185" s="89"/>
      <x:c r="AF185" s="91"/>
      <x:c r="AG185" s="83"/>
      <x:c r="AH185" s="83"/>
      <x:c r="AI185" s="83"/>
      <x:c r="AJ185" s="83"/>
      <x:c r="AK185" s="89"/>
      <x:c r="AL185" s="89"/>
      <x:c r="AM185" s="89"/>
      <x:c r="AN185" s="24"/>
      <x:c r="AO185" s="91"/>
      <x:c r="AP185" s="24"/>
      <x:c r="AQ185" s="24"/>
      <x:c r="AR185" s="91"/>
      <x:c r="AS185" s="89"/>
      <x:c r="AT185" s="92"/>
      <x:c r="AU185" s="27"/>
      <x:c r="AV185" s="27"/>
      <x:c r="AW185" s="27"/>
      <x:c r="AX185" s="93"/>
      <x:c r="AY185" s="27"/>
      <x:c r="AZ185" s="27"/>
      <x:c r="BA185" s="94"/>
      <x:c r="BB185" s="82"/>
      <x:c r="BC185" s="80"/>
      <x:c r="BD185" s="83"/>
    </x:row>
    <x:row r="186">
      <x:c r="A186" s="80"/>
      <x:c r="B186" s="80"/>
      <x:c r="C186" s="25"/>
      <x:c r="D186" s="25"/>
      <x:c r="E186" s="80"/>
      <x:c r="F186" s="24"/>
      <x:c r="G186" s="24"/>
      <x:c r="H186" s="25"/>
      <x:c r="I186" s="80"/>
      <x:c r="J186" s="25"/>
      <x:c r="K186" s="89"/>
      <x:c r="L186" s="83"/>
      <x:c r="M186" s="24"/>
      <x:c r="N186" s="90"/>
      <x:c r="O186" s="90"/>
      <x:c r="P186" s="91"/>
      <x:c r="Q186" s="89"/>
      <x:c r="R186" s="91"/>
      <x:c r="S186" s="24"/>
      <x:c r="T186" s="24"/>
      <x:c r="U186" s="24"/>
      <x:c r="V186" s="83"/>
      <x:c r="W186" s="89"/>
      <x:c r="X186" s="91"/>
      <x:c r="Y186" s="91"/>
      <x:c r="Z186" s="91"/>
      <x:c r="AA186" s="24"/>
      <x:c r="AB186" s="24"/>
      <x:c r="AC186" s="24"/>
      <x:c r="AD186" s="24"/>
      <x:c r="AE186" s="89"/>
      <x:c r="AF186" s="91"/>
      <x:c r="AG186" s="83"/>
      <x:c r="AH186" s="83"/>
      <x:c r="AI186" s="83"/>
      <x:c r="AJ186" s="83"/>
      <x:c r="AK186" s="89"/>
      <x:c r="AL186" s="89"/>
      <x:c r="AM186" s="89"/>
      <x:c r="AN186" s="24"/>
      <x:c r="AO186" s="91"/>
      <x:c r="AP186" s="24"/>
      <x:c r="AQ186" s="24"/>
      <x:c r="AR186" s="91"/>
      <x:c r="AS186" s="89"/>
      <x:c r="AT186" s="92"/>
      <x:c r="AU186" s="27"/>
      <x:c r="AV186" s="27"/>
      <x:c r="AW186" s="27"/>
      <x:c r="AX186" s="93"/>
      <x:c r="AY186" s="27"/>
      <x:c r="AZ186" s="27"/>
      <x:c r="BA186" s="94"/>
      <x:c r="BB186" s="82"/>
      <x:c r="BC186" s="80"/>
      <x:c r="BD186" s="83"/>
    </x:row>
    <x:row r="187">
      <x:c r="A187" s="80"/>
      <x:c r="B187" s="80"/>
      <x:c r="C187" s="25"/>
      <x:c r="D187" s="25"/>
      <x:c r="E187" s="80"/>
      <x:c r="F187" s="24"/>
      <x:c r="G187" s="24"/>
      <x:c r="H187" s="25"/>
      <x:c r="I187" s="80"/>
      <x:c r="J187" s="25"/>
      <x:c r="K187" s="89"/>
      <x:c r="L187" s="83"/>
      <x:c r="M187" s="24"/>
      <x:c r="N187" s="90"/>
      <x:c r="O187" s="90"/>
      <x:c r="P187" s="91"/>
      <x:c r="Q187" s="89"/>
      <x:c r="R187" s="91"/>
      <x:c r="S187" s="24"/>
      <x:c r="T187" s="24"/>
      <x:c r="U187" s="24"/>
      <x:c r="V187" s="83"/>
      <x:c r="W187" s="89"/>
      <x:c r="X187" s="91"/>
      <x:c r="Y187" s="91"/>
      <x:c r="Z187" s="91"/>
      <x:c r="AA187" s="24"/>
      <x:c r="AB187" s="24"/>
      <x:c r="AC187" s="24"/>
      <x:c r="AD187" s="24"/>
      <x:c r="AE187" s="89"/>
      <x:c r="AF187" s="91"/>
      <x:c r="AG187" s="83"/>
      <x:c r="AH187" s="83"/>
      <x:c r="AI187" s="83"/>
      <x:c r="AJ187" s="83"/>
      <x:c r="AK187" s="89"/>
      <x:c r="AL187" s="89"/>
      <x:c r="AM187" s="89"/>
      <x:c r="AN187" s="24"/>
      <x:c r="AO187" s="91"/>
      <x:c r="AP187" s="24"/>
      <x:c r="AQ187" s="24"/>
      <x:c r="AR187" s="91"/>
      <x:c r="AS187" s="89"/>
      <x:c r="AT187" s="92"/>
      <x:c r="AU187" s="27"/>
      <x:c r="AV187" s="27"/>
      <x:c r="AW187" s="27"/>
      <x:c r="AX187" s="93"/>
      <x:c r="AY187" s="27"/>
      <x:c r="AZ187" s="27"/>
      <x:c r="BA187" s="94"/>
      <x:c r="BB187" s="82"/>
      <x:c r="BC187" s="80"/>
      <x:c r="BD187" s="83"/>
    </x:row>
    <x:row r="188">
      <x:c r="A188" s="80"/>
      <x:c r="B188" s="80"/>
      <x:c r="C188" s="25"/>
      <x:c r="D188" s="25"/>
      <x:c r="E188" s="80"/>
      <x:c r="F188" s="24"/>
      <x:c r="G188" s="24"/>
      <x:c r="H188" s="25"/>
      <x:c r="I188" s="80"/>
      <x:c r="J188" s="25"/>
      <x:c r="K188" s="89"/>
      <x:c r="L188" s="83"/>
      <x:c r="M188" s="24"/>
      <x:c r="N188" s="90"/>
      <x:c r="O188" s="90"/>
      <x:c r="P188" s="91"/>
      <x:c r="Q188" s="89"/>
      <x:c r="R188" s="91"/>
      <x:c r="S188" s="24"/>
      <x:c r="T188" s="24"/>
      <x:c r="U188" s="24"/>
      <x:c r="V188" s="83"/>
      <x:c r="W188" s="89"/>
      <x:c r="X188" s="91"/>
      <x:c r="Y188" s="91"/>
      <x:c r="Z188" s="91"/>
      <x:c r="AA188" s="24"/>
      <x:c r="AB188" s="24"/>
      <x:c r="AC188" s="24"/>
      <x:c r="AD188" s="24"/>
      <x:c r="AE188" s="89"/>
      <x:c r="AF188" s="91"/>
      <x:c r="AG188" s="83"/>
      <x:c r="AH188" s="83"/>
      <x:c r="AI188" s="83"/>
      <x:c r="AJ188" s="83"/>
      <x:c r="AK188" s="89"/>
      <x:c r="AL188" s="89"/>
      <x:c r="AM188" s="89"/>
      <x:c r="AN188" s="24"/>
      <x:c r="AO188" s="91"/>
      <x:c r="AP188" s="24"/>
      <x:c r="AQ188" s="24"/>
      <x:c r="AR188" s="91"/>
      <x:c r="AS188" s="89"/>
      <x:c r="AT188" s="92"/>
      <x:c r="AU188" s="27"/>
      <x:c r="AV188" s="27"/>
      <x:c r="AW188" s="27"/>
      <x:c r="AX188" s="93"/>
      <x:c r="AY188" s="27"/>
      <x:c r="AZ188" s="27"/>
      <x:c r="BA188" s="94"/>
      <x:c r="BB188" s="82"/>
      <x:c r="BC188" s="80"/>
      <x:c r="BD188" s="83"/>
    </x:row>
    <x:row r="189">
      <x:c r="A189" s="80"/>
      <x:c r="B189" s="80"/>
      <x:c r="C189" s="25"/>
      <x:c r="D189" s="25"/>
      <x:c r="E189" s="80"/>
      <x:c r="F189" s="24"/>
      <x:c r="G189" s="24"/>
      <x:c r="H189" s="25"/>
      <x:c r="I189" s="80"/>
      <x:c r="J189" s="25"/>
      <x:c r="K189" s="89"/>
      <x:c r="L189" s="83"/>
      <x:c r="M189" s="24"/>
      <x:c r="N189" s="90"/>
      <x:c r="O189" s="90"/>
      <x:c r="P189" s="91"/>
      <x:c r="Q189" s="89"/>
      <x:c r="R189" s="91"/>
      <x:c r="S189" s="24"/>
      <x:c r="T189" s="24"/>
      <x:c r="U189" s="24"/>
      <x:c r="V189" s="83"/>
      <x:c r="W189" s="89"/>
      <x:c r="X189" s="91"/>
      <x:c r="Y189" s="91"/>
      <x:c r="Z189" s="91"/>
      <x:c r="AA189" s="24"/>
      <x:c r="AB189" s="24"/>
      <x:c r="AC189" s="24"/>
      <x:c r="AD189" s="24"/>
      <x:c r="AE189" s="89"/>
      <x:c r="AF189" s="91"/>
      <x:c r="AG189" s="83"/>
      <x:c r="AH189" s="83"/>
      <x:c r="AI189" s="83"/>
      <x:c r="AJ189" s="83"/>
      <x:c r="AK189" s="89"/>
      <x:c r="AL189" s="89"/>
      <x:c r="AM189" s="89"/>
      <x:c r="AN189" s="24"/>
      <x:c r="AO189" s="91"/>
      <x:c r="AP189" s="24"/>
      <x:c r="AQ189" s="24"/>
      <x:c r="AR189" s="91"/>
      <x:c r="AS189" s="89"/>
      <x:c r="AT189" s="92"/>
      <x:c r="AU189" s="27"/>
      <x:c r="AV189" s="27"/>
      <x:c r="AW189" s="27"/>
      <x:c r="AX189" s="93"/>
      <x:c r="AY189" s="27"/>
      <x:c r="AZ189" s="27"/>
      <x:c r="BA189" s="94"/>
      <x:c r="BB189" s="82"/>
      <x:c r="BC189" s="80"/>
      <x:c r="BD189" s="83"/>
    </x:row>
    <x:row r="190">
      <x:c r="A190" s="80"/>
      <x:c r="B190" s="80"/>
      <x:c r="C190" s="25"/>
      <x:c r="D190" s="25"/>
      <x:c r="E190" s="80"/>
      <x:c r="F190" s="24"/>
      <x:c r="G190" s="24"/>
      <x:c r="H190" s="25"/>
      <x:c r="I190" s="80"/>
      <x:c r="J190" s="25"/>
      <x:c r="K190" s="89"/>
      <x:c r="L190" s="83"/>
      <x:c r="M190" s="24"/>
      <x:c r="N190" s="90"/>
      <x:c r="O190" s="90"/>
      <x:c r="P190" s="91"/>
      <x:c r="Q190" s="89"/>
      <x:c r="R190" s="91"/>
      <x:c r="S190" s="24"/>
      <x:c r="T190" s="24"/>
      <x:c r="U190" s="24"/>
      <x:c r="V190" s="83"/>
      <x:c r="W190" s="89"/>
      <x:c r="X190" s="91"/>
      <x:c r="Y190" s="91"/>
      <x:c r="Z190" s="91"/>
      <x:c r="AA190" s="24"/>
      <x:c r="AB190" s="24"/>
      <x:c r="AC190" s="24"/>
      <x:c r="AD190" s="24"/>
      <x:c r="AE190" s="89"/>
      <x:c r="AF190" s="91"/>
      <x:c r="AG190" s="83"/>
      <x:c r="AH190" s="83"/>
      <x:c r="AI190" s="83"/>
      <x:c r="AJ190" s="83"/>
      <x:c r="AK190" s="89"/>
      <x:c r="AL190" s="89"/>
      <x:c r="AM190" s="89"/>
      <x:c r="AN190" s="24"/>
      <x:c r="AO190" s="91"/>
      <x:c r="AP190" s="24"/>
      <x:c r="AQ190" s="24"/>
      <x:c r="AR190" s="91"/>
      <x:c r="AS190" s="89"/>
      <x:c r="AT190" s="92"/>
      <x:c r="AU190" s="27"/>
      <x:c r="AV190" s="27"/>
      <x:c r="AW190" s="27"/>
      <x:c r="AX190" s="93"/>
      <x:c r="AY190" s="27"/>
      <x:c r="AZ190" s="27"/>
      <x:c r="BA190" s="94"/>
      <x:c r="BB190" s="82"/>
      <x:c r="BC190" s="80"/>
      <x:c r="BD190" s="83"/>
    </x:row>
    <x:row r="191">
      <x:c r="A191" s="80"/>
      <x:c r="B191" s="80"/>
      <x:c r="C191" s="25"/>
      <x:c r="D191" s="25"/>
      <x:c r="E191" s="80"/>
      <x:c r="F191" s="24"/>
      <x:c r="G191" s="24"/>
      <x:c r="H191" s="25"/>
      <x:c r="I191" s="80"/>
      <x:c r="J191" s="25"/>
      <x:c r="K191" s="89"/>
      <x:c r="L191" s="83"/>
      <x:c r="M191" s="24"/>
      <x:c r="N191" s="90"/>
      <x:c r="O191" s="90"/>
      <x:c r="P191" s="91"/>
      <x:c r="Q191" s="89"/>
      <x:c r="R191" s="91"/>
      <x:c r="S191" s="24"/>
      <x:c r="T191" s="24"/>
      <x:c r="U191" s="24"/>
      <x:c r="V191" s="83"/>
      <x:c r="W191" s="89"/>
      <x:c r="X191" s="91"/>
      <x:c r="Y191" s="91"/>
      <x:c r="Z191" s="91"/>
      <x:c r="AA191" s="24"/>
      <x:c r="AB191" s="24"/>
      <x:c r="AC191" s="24"/>
      <x:c r="AD191" s="24"/>
      <x:c r="AE191" s="89"/>
      <x:c r="AF191" s="91"/>
      <x:c r="AG191" s="83"/>
      <x:c r="AH191" s="83"/>
      <x:c r="AI191" s="83"/>
      <x:c r="AJ191" s="83"/>
      <x:c r="AK191" s="89"/>
      <x:c r="AL191" s="89"/>
      <x:c r="AM191" s="89"/>
      <x:c r="AN191" s="24"/>
      <x:c r="AO191" s="91"/>
      <x:c r="AP191" s="24"/>
      <x:c r="AQ191" s="24"/>
      <x:c r="AR191" s="91"/>
      <x:c r="AS191" s="89"/>
      <x:c r="AT191" s="92"/>
      <x:c r="AU191" s="27"/>
      <x:c r="AV191" s="27"/>
      <x:c r="AW191" s="27"/>
      <x:c r="AX191" s="93"/>
      <x:c r="AY191" s="27"/>
      <x:c r="AZ191" s="27"/>
      <x:c r="BA191" s="94"/>
      <x:c r="BB191" s="82"/>
      <x:c r="BC191" s="80"/>
      <x:c r="BD191" s="83"/>
    </x:row>
    <x:row r="192">
      <x:c r="A192" s="80"/>
      <x:c r="B192" s="80"/>
      <x:c r="C192" s="25"/>
      <x:c r="D192" s="25"/>
      <x:c r="E192" s="80"/>
      <x:c r="F192" s="24"/>
      <x:c r="G192" s="24"/>
      <x:c r="H192" s="25"/>
      <x:c r="I192" s="80"/>
      <x:c r="J192" s="25"/>
      <x:c r="K192" s="89"/>
      <x:c r="L192" s="83"/>
      <x:c r="M192" s="24"/>
      <x:c r="N192" s="90"/>
      <x:c r="O192" s="90"/>
      <x:c r="P192" s="91"/>
      <x:c r="Q192" s="89"/>
      <x:c r="R192" s="91"/>
      <x:c r="S192" s="24"/>
      <x:c r="T192" s="24"/>
      <x:c r="U192" s="24"/>
      <x:c r="V192" s="83"/>
      <x:c r="W192" s="89"/>
      <x:c r="X192" s="91"/>
      <x:c r="Y192" s="91"/>
      <x:c r="Z192" s="91"/>
      <x:c r="AA192" s="24"/>
      <x:c r="AB192" s="24"/>
      <x:c r="AC192" s="24"/>
      <x:c r="AD192" s="24"/>
      <x:c r="AE192" s="89"/>
      <x:c r="AF192" s="91"/>
      <x:c r="AG192" s="83"/>
      <x:c r="AH192" s="83"/>
      <x:c r="AI192" s="83"/>
      <x:c r="AJ192" s="83"/>
      <x:c r="AK192" s="89"/>
      <x:c r="AL192" s="89"/>
      <x:c r="AM192" s="89"/>
      <x:c r="AN192" s="24"/>
      <x:c r="AO192" s="91"/>
      <x:c r="AP192" s="24"/>
      <x:c r="AQ192" s="24"/>
      <x:c r="AR192" s="91"/>
      <x:c r="AS192" s="89"/>
      <x:c r="AT192" s="92"/>
      <x:c r="AU192" s="27"/>
      <x:c r="AV192" s="27"/>
      <x:c r="AW192" s="27"/>
      <x:c r="AX192" s="93"/>
      <x:c r="AY192" s="27"/>
      <x:c r="AZ192" s="27"/>
      <x:c r="BA192" s="94"/>
      <x:c r="BB192" s="82"/>
      <x:c r="BC192" s="80"/>
      <x:c r="BD192" s="83"/>
    </x:row>
    <x:row r="193">
      <x:c r="A193" s="80"/>
      <x:c r="B193" s="80"/>
      <x:c r="C193" s="25"/>
      <x:c r="D193" s="25"/>
      <x:c r="E193" s="80"/>
      <x:c r="F193" s="24"/>
      <x:c r="G193" s="24"/>
      <x:c r="H193" s="25"/>
      <x:c r="I193" s="80"/>
      <x:c r="J193" s="25"/>
      <x:c r="K193" s="89"/>
      <x:c r="L193" s="83"/>
      <x:c r="M193" s="24"/>
      <x:c r="N193" s="90"/>
      <x:c r="O193" s="90"/>
      <x:c r="P193" s="91"/>
      <x:c r="Q193" s="89"/>
      <x:c r="R193" s="91"/>
      <x:c r="S193" s="24"/>
      <x:c r="T193" s="24"/>
      <x:c r="U193" s="24"/>
      <x:c r="V193" s="83"/>
      <x:c r="W193" s="89"/>
      <x:c r="X193" s="91"/>
      <x:c r="Y193" s="91"/>
      <x:c r="Z193" s="91"/>
      <x:c r="AA193" s="24"/>
      <x:c r="AB193" s="24"/>
      <x:c r="AC193" s="24"/>
      <x:c r="AD193" s="24"/>
      <x:c r="AE193" s="89"/>
      <x:c r="AF193" s="91"/>
      <x:c r="AG193" s="83"/>
      <x:c r="AH193" s="83"/>
      <x:c r="AI193" s="83"/>
      <x:c r="AJ193" s="83"/>
      <x:c r="AK193" s="89"/>
      <x:c r="AL193" s="89"/>
      <x:c r="AM193" s="89"/>
      <x:c r="AN193" s="24"/>
      <x:c r="AO193" s="91"/>
      <x:c r="AP193" s="24"/>
      <x:c r="AQ193" s="24"/>
      <x:c r="AR193" s="91"/>
      <x:c r="AS193" s="89"/>
      <x:c r="AT193" s="92"/>
      <x:c r="AU193" s="27"/>
      <x:c r="AV193" s="27"/>
      <x:c r="AW193" s="27"/>
      <x:c r="AX193" s="93"/>
      <x:c r="AY193" s="27"/>
      <x:c r="AZ193" s="27"/>
      <x:c r="BA193" s="94"/>
      <x:c r="BB193" s="82"/>
      <x:c r="BC193" s="80"/>
      <x:c r="BD193" s="83"/>
    </x:row>
    <x:row r="194">
      <x:c r="A194" s="80"/>
      <x:c r="B194" s="80"/>
      <x:c r="C194" s="25"/>
      <x:c r="D194" s="25"/>
      <x:c r="E194" s="80"/>
      <x:c r="F194" s="24"/>
      <x:c r="G194" s="24"/>
      <x:c r="H194" s="25"/>
      <x:c r="I194" s="80"/>
      <x:c r="J194" s="25"/>
      <x:c r="K194" s="89"/>
      <x:c r="L194" s="83"/>
      <x:c r="M194" s="24"/>
      <x:c r="N194" s="90"/>
      <x:c r="O194" s="90"/>
      <x:c r="P194" s="91"/>
      <x:c r="Q194" s="89"/>
      <x:c r="R194" s="91"/>
      <x:c r="S194" s="24"/>
      <x:c r="T194" s="24"/>
      <x:c r="U194" s="24"/>
      <x:c r="V194" s="83"/>
      <x:c r="W194" s="89"/>
      <x:c r="X194" s="91"/>
      <x:c r="Y194" s="91"/>
      <x:c r="Z194" s="91"/>
      <x:c r="AA194" s="24"/>
      <x:c r="AB194" s="24"/>
      <x:c r="AC194" s="24"/>
      <x:c r="AD194" s="24"/>
      <x:c r="AE194" s="89"/>
      <x:c r="AF194" s="91"/>
      <x:c r="AG194" s="83"/>
      <x:c r="AH194" s="83"/>
      <x:c r="AI194" s="83"/>
      <x:c r="AJ194" s="83"/>
      <x:c r="AK194" s="89"/>
      <x:c r="AL194" s="89"/>
      <x:c r="AM194" s="89"/>
      <x:c r="AN194" s="24"/>
      <x:c r="AO194" s="91"/>
      <x:c r="AP194" s="24"/>
      <x:c r="AQ194" s="24"/>
      <x:c r="AR194" s="91"/>
      <x:c r="AS194" s="89"/>
      <x:c r="AT194" s="92"/>
      <x:c r="AU194" s="27"/>
      <x:c r="AV194" s="27"/>
      <x:c r="AW194" s="27"/>
      <x:c r="AX194" s="93"/>
      <x:c r="AY194" s="27"/>
      <x:c r="AZ194" s="27"/>
      <x:c r="BA194" s="94"/>
      <x:c r="BB194" s="82"/>
      <x:c r="BC194" s="80"/>
      <x:c r="BD194" s="83"/>
    </x:row>
    <x:row r="195">
      <x:c r="A195" s="80"/>
      <x:c r="B195" s="80"/>
      <x:c r="C195" s="25"/>
      <x:c r="D195" s="25"/>
      <x:c r="E195" s="80"/>
      <x:c r="F195" s="24"/>
      <x:c r="G195" s="24"/>
      <x:c r="H195" s="25"/>
      <x:c r="I195" s="80"/>
      <x:c r="J195" s="25"/>
      <x:c r="K195" s="89"/>
      <x:c r="L195" s="83"/>
      <x:c r="M195" s="24"/>
      <x:c r="N195" s="90"/>
      <x:c r="O195" s="90"/>
      <x:c r="P195" s="91"/>
      <x:c r="Q195" s="89"/>
      <x:c r="R195" s="91"/>
      <x:c r="S195" s="24"/>
      <x:c r="T195" s="24"/>
      <x:c r="U195" s="24"/>
      <x:c r="V195" s="83"/>
      <x:c r="W195" s="89"/>
      <x:c r="X195" s="91"/>
      <x:c r="Y195" s="91"/>
      <x:c r="Z195" s="91"/>
      <x:c r="AA195" s="24"/>
      <x:c r="AB195" s="24"/>
      <x:c r="AC195" s="24"/>
      <x:c r="AD195" s="24"/>
      <x:c r="AE195" s="89"/>
      <x:c r="AF195" s="91"/>
      <x:c r="AG195" s="83"/>
      <x:c r="AH195" s="83"/>
      <x:c r="AI195" s="83"/>
      <x:c r="AJ195" s="83"/>
      <x:c r="AK195" s="89"/>
      <x:c r="AL195" s="89"/>
      <x:c r="AM195" s="89"/>
      <x:c r="AN195" s="24"/>
      <x:c r="AO195" s="91"/>
      <x:c r="AP195" s="24"/>
      <x:c r="AQ195" s="24"/>
      <x:c r="AR195" s="91"/>
      <x:c r="AS195" s="89"/>
      <x:c r="AT195" s="92"/>
      <x:c r="AU195" s="27"/>
      <x:c r="AV195" s="27"/>
      <x:c r="AW195" s="27"/>
      <x:c r="AX195" s="93"/>
      <x:c r="AY195" s="27"/>
      <x:c r="AZ195" s="27"/>
      <x:c r="BA195" s="94"/>
      <x:c r="BB195" s="82"/>
      <x:c r="BC195" s="80"/>
      <x:c r="BD195" s="83"/>
    </x:row>
    <x:row r="196">
      <x:c r="A196" s="80"/>
      <x:c r="B196" s="80"/>
      <x:c r="C196" s="25"/>
      <x:c r="D196" s="25"/>
      <x:c r="E196" s="80"/>
      <x:c r="F196" s="24"/>
      <x:c r="G196" s="24"/>
      <x:c r="H196" s="25"/>
      <x:c r="I196" s="80"/>
      <x:c r="J196" s="25"/>
      <x:c r="K196" s="89"/>
      <x:c r="L196" s="83"/>
      <x:c r="M196" s="24"/>
      <x:c r="N196" s="90"/>
      <x:c r="O196" s="90"/>
      <x:c r="P196" s="91"/>
      <x:c r="Q196" s="89"/>
      <x:c r="R196" s="91"/>
      <x:c r="S196" s="24"/>
      <x:c r="T196" s="24"/>
      <x:c r="U196" s="24"/>
      <x:c r="V196" s="83"/>
      <x:c r="W196" s="89"/>
      <x:c r="X196" s="91"/>
      <x:c r="Y196" s="91"/>
      <x:c r="Z196" s="91"/>
      <x:c r="AA196" s="24"/>
      <x:c r="AB196" s="24"/>
      <x:c r="AC196" s="24"/>
      <x:c r="AD196" s="24"/>
      <x:c r="AE196" s="89"/>
      <x:c r="AF196" s="91"/>
      <x:c r="AG196" s="83"/>
      <x:c r="AH196" s="83"/>
      <x:c r="AI196" s="83"/>
      <x:c r="AJ196" s="83"/>
      <x:c r="AK196" s="89"/>
      <x:c r="AL196" s="89"/>
      <x:c r="AM196" s="89"/>
      <x:c r="AN196" s="24"/>
      <x:c r="AO196" s="91"/>
      <x:c r="AP196" s="24"/>
      <x:c r="AQ196" s="24"/>
      <x:c r="AR196" s="91"/>
      <x:c r="AS196" s="89"/>
      <x:c r="AT196" s="92"/>
      <x:c r="AU196" s="27"/>
      <x:c r="AV196" s="27"/>
      <x:c r="AW196" s="27"/>
      <x:c r="AX196" s="93"/>
      <x:c r="AY196" s="27"/>
      <x:c r="AZ196" s="27"/>
      <x:c r="BA196" s="94"/>
      <x:c r="BB196" s="82"/>
      <x:c r="BC196" s="80"/>
      <x:c r="BD196" s="83"/>
    </x:row>
    <x:row r="197">
      <x:c r="A197" s="80"/>
      <x:c r="B197" s="80"/>
      <x:c r="C197" s="25"/>
      <x:c r="D197" s="25"/>
      <x:c r="E197" s="80"/>
      <x:c r="F197" s="24"/>
      <x:c r="G197" s="24"/>
      <x:c r="H197" s="25"/>
      <x:c r="I197" s="80"/>
      <x:c r="J197" s="25"/>
      <x:c r="K197" s="89"/>
      <x:c r="L197" s="83"/>
      <x:c r="M197" s="24"/>
      <x:c r="N197" s="90"/>
      <x:c r="O197" s="90"/>
      <x:c r="P197" s="91"/>
      <x:c r="Q197" s="89"/>
      <x:c r="R197" s="91"/>
      <x:c r="S197" s="24"/>
      <x:c r="T197" s="24"/>
      <x:c r="U197" s="24"/>
      <x:c r="V197" s="83"/>
      <x:c r="W197" s="89"/>
      <x:c r="X197" s="91"/>
      <x:c r="Y197" s="91"/>
      <x:c r="Z197" s="91"/>
      <x:c r="AA197" s="24"/>
      <x:c r="AB197" s="24"/>
      <x:c r="AC197" s="24"/>
      <x:c r="AD197" s="24"/>
      <x:c r="AE197" s="89"/>
      <x:c r="AF197" s="91"/>
      <x:c r="AG197" s="83"/>
      <x:c r="AH197" s="83"/>
      <x:c r="AI197" s="83"/>
      <x:c r="AJ197" s="83"/>
      <x:c r="AK197" s="89"/>
      <x:c r="AL197" s="89"/>
      <x:c r="AM197" s="89"/>
      <x:c r="AN197" s="24"/>
      <x:c r="AO197" s="91"/>
      <x:c r="AP197" s="24"/>
      <x:c r="AQ197" s="24"/>
      <x:c r="AR197" s="91"/>
      <x:c r="AS197" s="89"/>
      <x:c r="AT197" s="92"/>
      <x:c r="AU197" s="27"/>
      <x:c r="AV197" s="27"/>
      <x:c r="AW197" s="27"/>
      <x:c r="AX197" s="93"/>
      <x:c r="AY197" s="27"/>
      <x:c r="AZ197" s="27"/>
      <x:c r="BA197" s="94"/>
      <x:c r="BB197" s="82"/>
      <x:c r="BC197" s="80"/>
      <x:c r="BD197" s="83"/>
    </x:row>
    <x:row r="198">
      <x:c r="A198" s="80"/>
      <x:c r="B198" s="80"/>
      <x:c r="C198" s="25"/>
      <x:c r="D198" s="25"/>
      <x:c r="E198" s="80"/>
      <x:c r="F198" s="24"/>
      <x:c r="G198" s="24"/>
      <x:c r="H198" s="25"/>
      <x:c r="I198" s="80"/>
      <x:c r="J198" s="25"/>
      <x:c r="K198" s="89"/>
      <x:c r="L198" s="83"/>
      <x:c r="M198" s="24"/>
      <x:c r="N198" s="90"/>
      <x:c r="O198" s="90"/>
      <x:c r="P198" s="91"/>
      <x:c r="Q198" s="89"/>
      <x:c r="R198" s="91"/>
      <x:c r="S198" s="24"/>
      <x:c r="T198" s="24"/>
      <x:c r="U198" s="24"/>
      <x:c r="V198" s="83"/>
      <x:c r="W198" s="89"/>
      <x:c r="X198" s="91"/>
      <x:c r="Y198" s="91"/>
      <x:c r="Z198" s="91"/>
      <x:c r="AA198" s="24"/>
      <x:c r="AB198" s="24"/>
      <x:c r="AC198" s="24"/>
      <x:c r="AD198" s="24"/>
      <x:c r="AE198" s="89"/>
      <x:c r="AF198" s="91"/>
      <x:c r="AG198" s="83"/>
      <x:c r="AH198" s="83"/>
      <x:c r="AI198" s="83"/>
      <x:c r="AJ198" s="83"/>
      <x:c r="AK198" s="89"/>
      <x:c r="AL198" s="89"/>
      <x:c r="AM198" s="89"/>
      <x:c r="AN198" s="24"/>
      <x:c r="AO198" s="91"/>
      <x:c r="AP198" s="24"/>
      <x:c r="AQ198" s="24"/>
      <x:c r="AR198" s="91"/>
      <x:c r="AS198" s="89"/>
      <x:c r="AT198" s="92"/>
      <x:c r="AU198" s="27"/>
      <x:c r="AV198" s="27"/>
      <x:c r="AW198" s="27"/>
      <x:c r="AX198" s="93"/>
      <x:c r="AY198" s="27"/>
      <x:c r="AZ198" s="27"/>
      <x:c r="BA198" s="94"/>
      <x:c r="BB198" s="82"/>
      <x:c r="BC198" s="80"/>
      <x:c r="BD198" s="83"/>
    </x:row>
    <x:row r="199">
      <x:c r="A199" s="80"/>
      <x:c r="B199" s="80"/>
      <x:c r="C199" s="25"/>
      <x:c r="D199" s="25"/>
      <x:c r="E199" s="80"/>
      <x:c r="F199" s="24"/>
      <x:c r="G199" s="24"/>
      <x:c r="H199" s="25"/>
      <x:c r="I199" s="80"/>
      <x:c r="J199" s="25"/>
      <x:c r="K199" s="89"/>
      <x:c r="L199" s="83"/>
      <x:c r="M199" s="24"/>
      <x:c r="N199" s="90"/>
      <x:c r="O199" s="90"/>
      <x:c r="P199" s="91"/>
      <x:c r="Q199" s="89"/>
      <x:c r="R199" s="91"/>
      <x:c r="S199" s="24"/>
      <x:c r="T199" s="24"/>
      <x:c r="U199" s="24"/>
      <x:c r="V199" s="83"/>
      <x:c r="W199" s="89"/>
      <x:c r="X199" s="91"/>
      <x:c r="Y199" s="91"/>
      <x:c r="Z199" s="91"/>
      <x:c r="AA199" s="24"/>
      <x:c r="AB199" s="24"/>
      <x:c r="AC199" s="24"/>
      <x:c r="AD199" s="24"/>
      <x:c r="AE199" s="89"/>
      <x:c r="AF199" s="91"/>
      <x:c r="AG199" s="83"/>
      <x:c r="AH199" s="83"/>
      <x:c r="AI199" s="83"/>
      <x:c r="AJ199" s="83"/>
      <x:c r="AK199" s="89"/>
      <x:c r="AL199" s="89"/>
      <x:c r="AM199" s="89"/>
      <x:c r="AN199" s="24"/>
      <x:c r="AO199" s="91"/>
      <x:c r="AP199" s="24"/>
      <x:c r="AQ199" s="24"/>
      <x:c r="AR199" s="91"/>
      <x:c r="AS199" s="89"/>
      <x:c r="AT199" s="92"/>
      <x:c r="AU199" s="27"/>
      <x:c r="AV199" s="27"/>
      <x:c r="AW199" s="27"/>
      <x:c r="AX199" s="93"/>
      <x:c r="AY199" s="27"/>
      <x:c r="AZ199" s="27"/>
      <x:c r="BA199" s="94"/>
      <x:c r="BB199" s="82"/>
      <x:c r="BC199" s="80"/>
      <x:c r="BD199" s="83"/>
    </x:row>
    <x:row r="200">
      <x:c r="A200" s="80"/>
      <x:c r="B200" s="80"/>
      <x:c r="C200" s="25"/>
      <x:c r="D200" s="25"/>
      <x:c r="E200" s="80"/>
      <x:c r="F200" s="24"/>
      <x:c r="G200" s="24"/>
      <x:c r="H200" s="25"/>
      <x:c r="I200" s="80"/>
      <x:c r="J200" s="25"/>
      <x:c r="K200" s="89"/>
      <x:c r="L200" s="83"/>
      <x:c r="M200" s="24"/>
      <x:c r="N200" s="90"/>
      <x:c r="O200" s="90"/>
      <x:c r="P200" s="91"/>
      <x:c r="Q200" s="89"/>
      <x:c r="R200" s="91"/>
      <x:c r="S200" s="24"/>
      <x:c r="T200" s="24"/>
      <x:c r="U200" s="24"/>
      <x:c r="V200" s="83"/>
      <x:c r="W200" s="89"/>
      <x:c r="X200" s="91"/>
      <x:c r="Y200" s="91"/>
      <x:c r="Z200" s="91"/>
      <x:c r="AA200" s="24"/>
      <x:c r="AB200" s="24"/>
      <x:c r="AC200" s="24"/>
      <x:c r="AD200" s="24"/>
      <x:c r="AE200" s="89"/>
      <x:c r="AF200" s="91"/>
      <x:c r="AG200" s="83"/>
      <x:c r="AH200" s="83"/>
      <x:c r="AI200" s="83"/>
      <x:c r="AJ200" s="83"/>
      <x:c r="AK200" s="89"/>
      <x:c r="AL200" s="89"/>
      <x:c r="AM200" s="89"/>
      <x:c r="AN200" s="24"/>
      <x:c r="AO200" s="91"/>
      <x:c r="AP200" s="24"/>
      <x:c r="AQ200" s="24"/>
      <x:c r="AR200" s="91"/>
      <x:c r="AS200" s="89"/>
      <x:c r="AT200" s="92"/>
      <x:c r="AU200" s="27"/>
      <x:c r="AV200" s="27"/>
      <x:c r="AW200" s="27"/>
      <x:c r="AX200" s="93"/>
      <x:c r="AY200" s="27"/>
      <x:c r="AZ200" s="27"/>
      <x:c r="BA200" s="94"/>
      <x:c r="BB200" s="82"/>
      <x:c r="BC200" s="80"/>
      <x:c r="BD200" s="83"/>
    </x:row>
    <x:row r="201">
      <x:c r="A201" s="80"/>
      <x:c r="B201" s="80"/>
      <x:c r="C201" s="25"/>
      <x:c r="D201" s="25"/>
      <x:c r="E201" s="80"/>
      <x:c r="F201" s="24"/>
      <x:c r="G201" s="24"/>
      <x:c r="H201" s="25"/>
      <x:c r="I201" s="80"/>
      <x:c r="J201" s="25"/>
      <x:c r="K201" s="89"/>
      <x:c r="L201" s="83"/>
      <x:c r="M201" s="24"/>
      <x:c r="N201" s="90"/>
      <x:c r="O201" s="90"/>
      <x:c r="P201" s="91"/>
      <x:c r="Q201" s="89"/>
      <x:c r="R201" s="91"/>
      <x:c r="S201" s="24"/>
      <x:c r="T201" s="24"/>
      <x:c r="U201" s="24"/>
      <x:c r="V201" s="83"/>
      <x:c r="W201" s="89"/>
      <x:c r="X201" s="91"/>
      <x:c r="Y201" s="91"/>
      <x:c r="Z201" s="91"/>
      <x:c r="AA201" s="24"/>
      <x:c r="AB201" s="24"/>
      <x:c r="AC201" s="24"/>
      <x:c r="AD201" s="24"/>
      <x:c r="AE201" s="89"/>
      <x:c r="AF201" s="91"/>
      <x:c r="AG201" s="83"/>
      <x:c r="AH201" s="83"/>
      <x:c r="AI201" s="83"/>
      <x:c r="AJ201" s="83"/>
      <x:c r="AK201" s="89"/>
      <x:c r="AL201" s="89"/>
      <x:c r="AM201" s="89"/>
      <x:c r="AN201" s="24"/>
      <x:c r="AO201" s="91"/>
      <x:c r="AP201" s="24"/>
      <x:c r="AQ201" s="24"/>
      <x:c r="AR201" s="91"/>
      <x:c r="AS201" s="89"/>
      <x:c r="AT201" s="92"/>
      <x:c r="AU201" s="27"/>
      <x:c r="AV201" s="27"/>
      <x:c r="AW201" s="27"/>
      <x:c r="AX201" s="93"/>
      <x:c r="AY201" s="27"/>
      <x:c r="AZ201" s="27"/>
      <x:c r="BA201" s="94"/>
      <x:c r="BB201" s="82"/>
      <x:c r="BC201" s="80"/>
      <x:c r="BD201" s="83"/>
    </x:row>
    <x:row r="202">
      <x:c r="A202" s="80"/>
      <x:c r="B202" s="80"/>
      <x:c r="C202" s="25"/>
      <x:c r="D202" s="25"/>
      <x:c r="E202" s="80"/>
      <x:c r="F202" s="24"/>
      <x:c r="G202" s="24"/>
      <x:c r="H202" s="25"/>
      <x:c r="I202" s="80"/>
      <x:c r="J202" s="25"/>
      <x:c r="K202" s="89"/>
      <x:c r="L202" s="83"/>
      <x:c r="M202" s="24"/>
      <x:c r="N202" s="90"/>
      <x:c r="O202" s="90"/>
      <x:c r="P202" s="91"/>
      <x:c r="Q202" s="89"/>
      <x:c r="R202" s="91"/>
      <x:c r="S202" s="24"/>
      <x:c r="T202" s="24"/>
      <x:c r="U202" s="24"/>
      <x:c r="V202" s="83"/>
      <x:c r="W202" s="89"/>
      <x:c r="X202" s="91"/>
      <x:c r="Y202" s="91"/>
      <x:c r="Z202" s="91"/>
      <x:c r="AA202" s="24"/>
      <x:c r="AB202" s="24"/>
      <x:c r="AC202" s="24"/>
      <x:c r="AD202" s="24"/>
      <x:c r="AE202" s="89"/>
      <x:c r="AF202" s="91"/>
      <x:c r="AG202" s="83"/>
      <x:c r="AH202" s="83"/>
      <x:c r="AI202" s="83"/>
      <x:c r="AJ202" s="83"/>
      <x:c r="AK202" s="89"/>
      <x:c r="AL202" s="89"/>
      <x:c r="AM202" s="89"/>
      <x:c r="AN202" s="24"/>
      <x:c r="AO202" s="91"/>
      <x:c r="AP202" s="24"/>
      <x:c r="AQ202" s="24"/>
      <x:c r="AR202" s="91"/>
      <x:c r="AS202" s="89"/>
      <x:c r="AT202" s="92"/>
      <x:c r="AU202" s="27"/>
      <x:c r="AV202" s="27"/>
      <x:c r="AW202" s="27"/>
      <x:c r="AX202" s="93"/>
      <x:c r="AY202" s="27"/>
      <x:c r="AZ202" s="27"/>
      <x:c r="BA202" s="94"/>
      <x:c r="BB202" s="82"/>
      <x:c r="BC202" s="80"/>
      <x:c r="BD202" s="83"/>
    </x:row>
    <x:row r="203">
      <x:c r="A203" s="80"/>
      <x:c r="B203" s="80"/>
      <x:c r="C203" s="25"/>
      <x:c r="D203" s="25"/>
      <x:c r="E203" s="80"/>
      <x:c r="F203" s="24"/>
      <x:c r="G203" s="24"/>
      <x:c r="H203" s="25"/>
      <x:c r="I203" s="80"/>
      <x:c r="J203" s="25"/>
      <x:c r="K203" s="89"/>
      <x:c r="L203" s="83"/>
      <x:c r="M203" s="24"/>
      <x:c r="N203" s="90"/>
      <x:c r="O203" s="90"/>
      <x:c r="P203" s="91"/>
      <x:c r="Q203" s="89"/>
      <x:c r="R203" s="91"/>
      <x:c r="S203" s="24"/>
      <x:c r="T203" s="24"/>
      <x:c r="U203" s="24"/>
      <x:c r="V203" s="83"/>
      <x:c r="W203" s="89"/>
      <x:c r="X203" s="91"/>
      <x:c r="Y203" s="91"/>
      <x:c r="Z203" s="91"/>
      <x:c r="AA203" s="24"/>
      <x:c r="AB203" s="24"/>
      <x:c r="AC203" s="24"/>
      <x:c r="AD203" s="24"/>
      <x:c r="AE203" s="89"/>
      <x:c r="AF203" s="91"/>
      <x:c r="AG203" s="83"/>
      <x:c r="AH203" s="83"/>
      <x:c r="AI203" s="83"/>
      <x:c r="AJ203" s="83"/>
      <x:c r="AK203" s="89"/>
      <x:c r="AL203" s="89"/>
      <x:c r="AM203" s="89"/>
      <x:c r="AN203" s="24"/>
      <x:c r="AO203" s="91"/>
      <x:c r="AP203" s="24"/>
      <x:c r="AQ203" s="24"/>
      <x:c r="AR203" s="91"/>
      <x:c r="AS203" s="89"/>
      <x:c r="AT203" s="92"/>
      <x:c r="AU203" s="27"/>
      <x:c r="AV203" s="27"/>
      <x:c r="AW203" s="27"/>
      <x:c r="AX203" s="93"/>
      <x:c r="AY203" s="27"/>
      <x:c r="AZ203" s="27"/>
      <x:c r="BA203" s="94"/>
      <x:c r="BB203" s="82"/>
      <x:c r="BC203" s="80"/>
      <x:c r="BD203" s="83"/>
    </x:row>
    <x:row r="204">
      <x:c r="A204" s="80"/>
      <x:c r="B204" s="80"/>
      <x:c r="C204" s="25"/>
      <x:c r="D204" s="25"/>
      <x:c r="E204" s="80"/>
      <x:c r="F204" s="24"/>
      <x:c r="G204" s="24"/>
      <x:c r="H204" s="25"/>
      <x:c r="I204" s="80"/>
      <x:c r="J204" s="25"/>
      <x:c r="K204" s="89"/>
      <x:c r="L204" s="83"/>
      <x:c r="M204" s="24"/>
      <x:c r="N204" s="90"/>
      <x:c r="O204" s="90"/>
      <x:c r="P204" s="91"/>
      <x:c r="Q204" s="89"/>
      <x:c r="R204" s="91"/>
      <x:c r="S204" s="24"/>
      <x:c r="T204" s="24"/>
      <x:c r="U204" s="24"/>
      <x:c r="V204" s="83"/>
      <x:c r="W204" s="89"/>
      <x:c r="X204" s="91"/>
      <x:c r="Y204" s="91"/>
      <x:c r="Z204" s="91"/>
      <x:c r="AA204" s="24"/>
      <x:c r="AB204" s="24"/>
      <x:c r="AC204" s="24"/>
      <x:c r="AD204" s="24"/>
      <x:c r="AE204" s="89"/>
      <x:c r="AF204" s="91"/>
      <x:c r="AG204" s="83"/>
      <x:c r="AH204" s="83"/>
      <x:c r="AI204" s="83"/>
      <x:c r="AJ204" s="83"/>
      <x:c r="AK204" s="89"/>
      <x:c r="AL204" s="89"/>
      <x:c r="AM204" s="89"/>
      <x:c r="AN204" s="24"/>
      <x:c r="AO204" s="91"/>
      <x:c r="AP204" s="24"/>
      <x:c r="AQ204" s="24"/>
      <x:c r="AR204" s="91"/>
      <x:c r="AS204" s="89"/>
      <x:c r="AT204" s="92"/>
      <x:c r="AU204" s="27"/>
      <x:c r="AV204" s="27"/>
      <x:c r="AW204" s="27"/>
      <x:c r="AX204" s="93"/>
      <x:c r="AY204" s="27"/>
      <x:c r="AZ204" s="27"/>
      <x:c r="BA204" s="94"/>
      <x:c r="BB204" s="82"/>
      <x:c r="BC204" s="80"/>
      <x:c r="BD204" s="83"/>
    </x:row>
  </x:sheetData>
  <x:mergeCells>
    <x:mergeCell ref="A1:N1"/>
    <x:mergeCell ref="A2:N2"/>
  </x:mergeCells>
  <x:dataValidations count="32">
    <x:dataValidation type="list" sqref="C5:C204">
      <x:formula1>'Code Lists'!$A$5:$A$8</x:formula1>
    </x:dataValidation>
    <x:dataValidation type="list" sqref="D5:D204">
      <x:formula1>'Code Lists'!$C$5:$C$6</x:formula1>
    </x:dataValidation>
    <x:dataValidation type="list" sqref="H5:H204">
      <x:formula1>'Code Lists'!$D$5:$D$8</x:formula1>
    </x:dataValidation>
    <x:dataValidation type="list" sqref="S5:S204">
      <x:formula1>'Code Lists'!$E$5:$E$9</x:formula1>
    </x:dataValidation>
    <x:dataValidation type="list" sqref="AW5:AW204">
      <x:formula1>'Code Lists'!$F$5:$F$8</x:formula1>
    </x:dataValidation>
    <x:dataValidation type="decimal" operator="between" sqref="AX5:AX204">
      <x:formula1>0</x:formula1>
      <x:formula2>1</x:formula2>
    </x:dataValidation>
    <x:dataValidation type="whole" operator="between" sqref="K5:K204">
      <x:formula1>1</x:formula1>
      <x:formula2>20</x:formula2>
    </x:dataValidation>
    <x:dataValidation type="whole" operator="between" sqref="AS5:AS204">
      <x:formula1>0</x:formula1>
      <x:formula2>5</x:formula2>
    </x:dataValidation>
    <x:dataValidation type="whole" operator="between" sqref="Q5:Q204">
      <x:formula1>0</x:formula1>
      <x:formula2>1000000</x:formula2>
    </x:dataValidation>
    <x:dataValidation type="whole" operator="between" sqref="W5:W204">
      <x:formula1>0</x:formula1>
      <x:formula2>1000000</x:formula2>
    </x:dataValidation>
    <x:dataValidation type="whole" operator="between" sqref="AE5:AE204">
      <x:formula1>0</x:formula1>
      <x:formula2>1000000</x:formula2>
    </x:dataValidation>
    <x:dataValidation type="whole" operator="between" sqref="AK5:AK204">
      <x:formula1>0</x:formula1>
      <x:formula2>1000000</x:formula2>
    </x:dataValidation>
    <x:dataValidation type="whole" operator="between" sqref="AL5:AL204">
      <x:formula1>0</x:formula1>
      <x:formula2>1000000</x:formula2>
    </x:dataValidation>
    <x:dataValidation type="whole" operator="between" sqref="AM5:AM204">
      <x:formula1>0</x:formula1>
      <x:formula2>1000000</x:formula2>
    </x:dataValidation>
    <x:dataValidation type="decimal" operator="between" sqref="P5:P204">
      <x:formula1>0</x:formula1>
      <x:formula2>1</x:formula2>
    </x:dataValidation>
    <x:dataValidation type="decimal" operator="between" sqref="R5:R204">
      <x:formula1>0</x:formula1>
      <x:formula2>1</x:formula2>
    </x:dataValidation>
    <x:dataValidation type="decimal" operator="between" sqref="X5:X204">
      <x:formula1>0</x:formula1>
      <x:formula2>1</x:formula2>
    </x:dataValidation>
    <x:dataValidation type="decimal" operator="between" sqref="Y5:Y204">
      <x:formula1>0</x:formula1>
      <x:formula2>1</x:formula2>
    </x:dataValidation>
    <x:dataValidation type="decimal" operator="between" sqref="Z5:Z204">
      <x:formula1>0</x:formula1>
      <x:formula2>1</x:formula2>
    </x:dataValidation>
    <x:dataValidation type="decimal" operator="between" sqref="AF5:AF204">
      <x:formula1>0</x:formula1>
      <x:formula2>1</x:formula2>
    </x:dataValidation>
    <x:dataValidation type="decimal" operator="between" sqref="AO5:AO204">
      <x:formula1>0</x:formula1>
      <x:formula2>1</x:formula2>
    </x:dataValidation>
    <x:dataValidation type="decimal" operator="between" sqref="AR5:AR204">
      <x:formula1>0</x:formula1>
      <x:formula2>1</x:formula2>
    </x:dataValidation>
    <x:dataValidation type="decimal" operator="between" sqref="N5:N204">
      <x:formula1>0</x:formula1>
      <x:formula2>1000000000</x:formula2>
    </x:dataValidation>
    <x:dataValidation type="decimal" operator="between" sqref="O5:O204">
      <x:formula1>0</x:formula1>
      <x:formula2>1000000000</x:formula2>
    </x:dataValidation>
    <x:dataValidation type="list" sqref="L5:L204">
      <x:formula1>'Code Lists'!$J$5:$J$6</x:formula1>
    </x:dataValidation>
    <x:dataValidation type="list" sqref="V5:V204">
      <x:formula1>'Code Lists'!$J$5:$J$6</x:formula1>
    </x:dataValidation>
    <x:dataValidation type="list" sqref="AG5:AG204">
      <x:formula1>'Code Lists'!$J$5:$J$6</x:formula1>
    </x:dataValidation>
    <x:dataValidation type="list" sqref="AH5:AH204">
      <x:formula1>'Code Lists'!$J$5:$J$6</x:formula1>
    </x:dataValidation>
    <x:dataValidation type="list" sqref="AI5:AI204">
      <x:formula1>'Code Lists'!$J$5:$J$6</x:formula1>
    </x:dataValidation>
    <x:dataValidation type="list" sqref="AJ5:AJ204">
      <x:formula1>'Code Lists'!$J$5:$J$6</x:formula1>
    </x:dataValidation>
    <x:dataValidation type="list" sqref="AT5:AT204">
      <x:formula1>'Code Lists'!$J$5:$J$6</x:formula1>
    </x:dataValidation>
    <x:dataValidation type="list" sqref="BD5:BD204">
      <x:formula1>'Code Lists'!$J$5:$J$6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122bbb5c254aa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  <x:selection pane="topRight" activeCell="C1" sqref="C1"/>
      <x:selection pane="bottomLeft" activeCell="A5" sqref="A5"/>
      <x:selection pane="bottomRight" activeCell="C5" sqref="C5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9" hidden="0" customWidth="1"/>
    <x:col min="9" max="9" width="30" hidden="0" customWidth="1"/>
  </x:cols>
  <x:sheetData>
    <x:row r="1" ht="30" customHeight="1">
      <x:c r="A1" s="3" t="str">
        <x:v>Expert Labels</x:v>
      </x:c>
      <x:c r="B1" s="3"/>
      <x:c r="C1" s="3"/>
      <x:c r="D1" s="3"/>
      <x:c r="E1" s="3"/>
      <x:c r="F1" s="3"/>
      <x:c r="G1" s="3"/>
      <x:c r="H1" s="3"/>
      <x:c r="I1" s="3"/>
    </x:row>
    <x:row r="2" ht="32" customHeight="1">
      <x:c r="A2" s="7" t="str">
        <x:v>REAL ENTRY - expert review and adjudication. Use roles or anonymous reviewer codes, not personal contact details.</x:v>
      </x:c>
      <x:c r="B2" s="7"/>
      <x:c r="C2" s="7"/>
      <x:c r="D2" s="7"/>
      <x:c r="E2" s="7"/>
      <x:c r="F2" s="7"/>
      <x:c r="G2" s="7"/>
      <x:c r="H2" s="7"/>
      <x:c r="I2" s="7"/>
    </x:row>
    <x:row r="4" ht="46" customHeight="1">
      <x:c r="A4" s="67" t="str">
        <x:v>label_id</x:v>
      </x:c>
      <x:c r="B4" s="67" t="str">
        <x:v>session_id</x:v>
      </x:c>
      <x:c r="C4" s="67" t="str">
        <x:v>participant_code</x:v>
      </x:c>
      <x:c r="D4" s="79" t="str">
        <x:v>speech_support_label</x:v>
      </x:c>
      <x:c r="E4" s="79" t="str">
        <x:v>label_confidence</x:v>
      </x:c>
      <x:c r="F4" s="79" t="str">
        <x:v>review_state</x:v>
      </x:c>
      <x:c r="G4" s="79" t="str">
        <x:v>labelled_by_role</x:v>
      </x:c>
      <x:c r="H4" s="79" t="str">
        <x:v>labelled_at</x:v>
      </x:c>
      <x:c r="I4" s="79" t="str">
        <x:v>label_notes</x:v>
      </x:c>
    </x:row>
    <x:row r="5">
      <x:c r="A5" s="80"/>
      <x:c r="B5" s="80"/>
      <x:c r="C5" s="80"/>
      <x:c r="D5" s="27"/>
      <x:c r="E5" s="93"/>
      <x:c r="F5" s="27"/>
      <x:c r="G5" s="27"/>
      <x:c r="H5" s="94"/>
      <x:c r="I5" s="27"/>
    </x:row>
    <x:row r="6">
      <x:c r="A6" s="80"/>
      <x:c r="B6" s="80"/>
      <x:c r="C6" s="80"/>
      <x:c r="D6" s="27"/>
      <x:c r="E6" s="93"/>
      <x:c r="F6" s="27"/>
      <x:c r="G6" s="27"/>
      <x:c r="H6" s="94"/>
      <x:c r="I6" s="27"/>
    </x:row>
    <x:row r="7">
      <x:c r="A7" s="80"/>
      <x:c r="B7" s="80"/>
      <x:c r="C7" s="80"/>
      <x:c r="D7" s="27"/>
      <x:c r="E7" s="93"/>
      <x:c r="F7" s="27"/>
      <x:c r="G7" s="27"/>
      <x:c r="H7" s="94"/>
      <x:c r="I7" s="27"/>
    </x:row>
    <x:row r="8">
      <x:c r="A8" s="80"/>
      <x:c r="B8" s="80"/>
      <x:c r="C8" s="80"/>
      <x:c r="D8" s="27"/>
      <x:c r="E8" s="93"/>
      <x:c r="F8" s="27"/>
      <x:c r="G8" s="27"/>
      <x:c r="H8" s="94"/>
      <x:c r="I8" s="27"/>
    </x:row>
    <x:row r="9">
      <x:c r="A9" s="80"/>
      <x:c r="B9" s="80"/>
      <x:c r="C9" s="80"/>
      <x:c r="D9" s="27"/>
      <x:c r="E9" s="93"/>
      <x:c r="F9" s="27"/>
      <x:c r="G9" s="27"/>
      <x:c r="H9" s="94"/>
      <x:c r="I9" s="27"/>
    </x:row>
    <x:row r="10">
      <x:c r="A10" s="80"/>
      <x:c r="B10" s="80"/>
      <x:c r="C10" s="80"/>
      <x:c r="D10" s="27"/>
      <x:c r="E10" s="93"/>
      <x:c r="F10" s="27"/>
      <x:c r="G10" s="27"/>
      <x:c r="H10" s="94"/>
      <x:c r="I10" s="27"/>
    </x:row>
    <x:row r="11">
      <x:c r="A11" s="80"/>
      <x:c r="B11" s="80"/>
      <x:c r="C11" s="80"/>
      <x:c r="D11" s="27"/>
      <x:c r="E11" s="93"/>
      <x:c r="F11" s="27"/>
      <x:c r="G11" s="27"/>
      <x:c r="H11" s="94"/>
      <x:c r="I11" s="27"/>
    </x:row>
    <x:row r="12">
      <x:c r="A12" s="80"/>
      <x:c r="B12" s="80"/>
      <x:c r="C12" s="80"/>
      <x:c r="D12" s="27"/>
      <x:c r="E12" s="93"/>
      <x:c r="F12" s="27"/>
      <x:c r="G12" s="27"/>
      <x:c r="H12" s="94"/>
      <x:c r="I12" s="27"/>
    </x:row>
    <x:row r="13">
      <x:c r="A13" s="80"/>
      <x:c r="B13" s="80"/>
      <x:c r="C13" s="80"/>
      <x:c r="D13" s="27"/>
      <x:c r="E13" s="93"/>
      <x:c r="F13" s="27"/>
      <x:c r="G13" s="27"/>
      <x:c r="H13" s="94"/>
      <x:c r="I13" s="27"/>
    </x:row>
    <x:row r="14">
      <x:c r="A14" s="80"/>
      <x:c r="B14" s="80"/>
      <x:c r="C14" s="80"/>
      <x:c r="D14" s="27"/>
      <x:c r="E14" s="93"/>
      <x:c r="F14" s="27"/>
      <x:c r="G14" s="27"/>
      <x:c r="H14" s="94"/>
      <x:c r="I14" s="27"/>
    </x:row>
    <x:row r="15">
      <x:c r="A15" s="80"/>
      <x:c r="B15" s="80"/>
      <x:c r="C15" s="80"/>
      <x:c r="D15" s="27"/>
      <x:c r="E15" s="93"/>
      <x:c r="F15" s="27"/>
      <x:c r="G15" s="27"/>
      <x:c r="H15" s="94"/>
      <x:c r="I15" s="27"/>
    </x:row>
    <x:row r="16">
      <x:c r="A16" s="80"/>
      <x:c r="B16" s="80"/>
      <x:c r="C16" s="80"/>
      <x:c r="D16" s="27"/>
      <x:c r="E16" s="93"/>
      <x:c r="F16" s="27"/>
      <x:c r="G16" s="27"/>
      <x:c r="H16" s="94"/>
      <x:c r="I16" s="27"/>
    </x:row>
    <x:row r="17">
      <x:c r="A17" s="80"/>
      <x:c r="B17" s="80"/>
      <x:c r="C17" s="80"/>
      <x:c r="D17" s="27"/>
      <x:c r="E17" s="93"/>
      <x:c r="F17" s="27"/>
      <x:c r="G17" s="27"/>
      <x:c r="H17" s="94"/>
      <x:c r="I17" s="27"/>
    </x:row>
    <x:row r="18">
      <x:c r="A18" s="80"/>
      <x:c r="B18" s="80"/>
      <x:c r="C18" s="80"/>
      <x:c r="D18" s="27"/>
      <x:c r="E18" s="93"/>
      <x:c r="F18" s="27"/>
      <x:c r="G18" s="27"/>
      <x:c r="H18" s="94"/>
      <x:c r="I18" s="27"/>
    </x:row>
    <x:row r="19">
      <x:c r="A19" s="80"/>
      <x:c r="B19" s="80"/>
      <x:c r="C19" s="80"/>
      <x:c r="D19" s="27"/>
      <x:c r="E19" s="93"/>
      <x:c r="F19" s="27"/>
      <x:c r="G19" s="27"/>
      <x:c r="H19" s="94"/>
      <x:c r="I19" s="27"/>
    </x:row>
    <x:row r="20">
      <x:c r="A20" s="80"/>
      <x:c r="B20" s="80"/>
      <x:c r="C20" s="80"/>
      <x:c r="D20" s="27"/>
      <x:c r="E20" s="93"/>
      <x:c r="F20" s="27"/>
      <x:c r="G20" s="27"/>
      <x:c r="H20" s="94"/>
      <x:c r="I20" s="27"/>
    </x:row>
    <x:row r="21">
      <x:c r="A21" s="80"/>
      <x:c r="B21" s="80"/>
      <x:c r="C21" s="80"/>
      <x:c r="D21" s="27"/>
      <x:c r="E21" s="93"/>
      <x:c r="F21" s="27"/>
      <x:c r="G21" s="27"/>
      <x:c r="H21" s="94"/>
      <x:c r="I21" s="27"/>
    </x:row>
    <x:row r="22">
      <x:c r="A22" s="80"/>
      <x:c r="B22" s="80"/>
      <x:c r="C22" s="80"/>
      <x:c r="D22" s="27"/>
      <x:c r="E22" s="93"/>
      <x:c r="F22" s="27"/>
      <x:c r="G22" s="27"/>
      <x:c r="H22" s="94"/>
      <x:c r="I22" s="27"/>
    </x:row>
    <x:row r="23">
      <x:c r="A23" s="80"/>
      <x:c r="B23" s="80"/>
      <x:c r="C23" s="80"/>
      <x:c r="D23" s="27"/>
      <x:c r="E23" s="93"/>
      <x:c r="F23" s="27"/>
      <x:c r="G23" s="27"/>
      <x:c r="H23" s="94"/>
      <x:c r="I23" s="27"/>
    </x:row>
    <x:row r="24">
      <x:c r="A24" s="80"/>
      <x:c r="B24" s="80"/>
      <x:c r="C24" s="80"/>
      <x:c r="D24" s="27"/>
      <x:c r="E24" s="93"/>
      <x:c r="F24" s="27"/>
      <x:c r="G24" s="27"/>
      <x:c r="H24" s="94"/>
      <x:c r="I24" s="27"/>
    </x:row>
    <x:row r="25">
      <x:c r="A25" s="80"/>
      <x:c r="B25" s="80"/>
      <x:c r="C25" s="80"/>
      <x:c r="D25" s="27"/>
      <x:c r="E25" s="93"/>
      <x:c r="F25" s="27"/>
      <x:c r="G25" s="27"/>
      <x:c r="H25" s="94"/>
      <x:c r="I25" s="27"/>
    </x:row>
    <x:row r="26">
      <x:c r="A26" s="80"/>
      <x:c r="B26" s="80"/>
      <x:c r="C26" s="80"/>
      <x:c r="D26" s="27"/>
      <x:c r="E26" s="93"/>
      <x:c r="F26" s="27"/>
      <x:c r="G26" s="27"/>
      <x:c r="H26" s="94"/>
      <x:c r="I26" s="27"/>
    </x:row>
    <x:row r="27">
      <x:c r="A27" s="80"/>
      <x:c r="B27" s="80"/>
      <x:c r="C27" s="80"/>
      <x:c r="D27" s="27"/>
      <x:c r="E27" s="93"/>
      <x:c r="F27" s="27"/>
      <x:c r="G27" s="27"/>
      <x:c r="H27" s="94"/>
      <x:c r="I27" s="27"/>
    </x:row>
    <x:row r="28">
      <x:c r="A28" s="80"/>
      <x:c r="B28" s="80"/>
      <x:c r="C28" s="80"/>
      <x:c r="D28" s="27"/>
      <x:c r="E28" s="93"/>
      <x:c r="F28" s="27"/>
      <x:c r="G28" s="27"/>
      <x:c r="H28" s="94"/>
      <x:c r="I28" s="27"/>
    </x:row>
    <x:row r="29">
      <x:c r="A29" s="80"/>
      <x:c r="B29" s="80"/>
      <x:c r="C29" s="80"/>
      <x:c r="D29" s="27"/>
      <x:c r="E29" s="93"/>
      <x:c r="F29" s="27"/>
      <x:c r="G29" s="27"/>
      <x:c r="H29" s="94"/>
      <x:c r="I29" s="27"/>
    </x:row>
    <x:row r="30">
      <x:c r="A30" s="80"/>
      <x:c r="B30" s="80"/>
      <x:c r="C30" s="80"/>
      <x:c r="D30" s="27"/>
      <x:c r="E30" s="93"/>
      <x:c r="F30" s="27"/>
      <x:c r="G30" s="27"/>
      <x:c r="H30" s="94"/>
      <x:c r="I30" s="27"/>
    </x:row>
    <x:row r="31">
      <x:c r="A31" s="80"/>
      <x:c r="B31" s="80"/>
      <x:c r="C31" s="80"/>
      <x:c r="D31" s="27"/>
      <x:c r="E31" s="93"/>
      <x:c r="F31" s="27"/>
      <x:c r="G31" s="27"/>
      <x:c r="H31" s="94"/>
      <x:c r="I31" s="27"/>
    </x:row>
    <x:row r="32">
      <x:c r="A32" s="80"/>
      <x:c r="B32" s="80"/>
      <x:c r="C32" s="80"/>
      <x:c r="D32" s="27"/>
      <x:c r="E32" s="93"/>
      <x:c r="F32" s="27"/>
      <x:c r="G32" s="27"/>
      <x:c r="H32" s="94"/>
      <x:c r="I32" s="27"/>
    </x:row>
    <x:row r="33">
      <x:c r="A33" s="80"/>
      <x:c r="B33" s="80"/>
      <x:c r="C33" s="80"/>
      <x:c r="D33" s="27"/>
      <x:c r="E33" s="93"/>
      <x:c r="F33" s="27"/>
      <x:c r="G33" s="27"/>
      <x:c r="H33" s="94"/>
      <x:c r="I33" s="27"/>
    </x:row>
    <x:row r="34">
      <x:c r="A34" s="80"/>
      <x:c r="B34" s="80"/>
      <x:c r="C34" s="80"/>
      <x:c r="D34" s="27"/>
      <x:c r="E34" s="93"/>
      <x:c r="F34" s="27"/>
      <x:c r="G34" s="27"/>
      <x:c r="H34" s="94"/>
      <x:c r="I34" s="27"/>
    </x:row>
    <x:row r="35">
      <x:c r="A35" s="80"/>
      <x:c r="B35" s="80"/>
      <x:c r="C35" s="80"/>
      <x:c r="D35" s="27"/>
      <x:c r="E35" s="93"/>
      <x:c r="F35" s="27"/>
      <x:c r="G35" s="27"/>
      <x:c r="H35" s="94"/>
      <x:c r="I35" s="27"/>
    </x:row>
    <x:row r="36">
      <x:c r="A36" s="80"/>
      <x:c r="B36" s="80"/>
      <x:c r="C36" s="80"/>
      <x:c r="D36" s="27"/>
      <x:c r="E36" s="93"/>
      <x:c r="F36" s="27"/>
      <x:c r="G36" s="27"/>
      <x:c r="H36" s="94"/>
      <x:c r="I36" s="27"/>
    </x:row>
    <x:row r="37">
      <x:c r="A37" s="80"/>
      <x:c r="B37" s="80"/>
      <x:c r="C37" s="80"/>
      <x:c r="D37" s="27"/>
      <x:c r="E37" s="93"/>
      <x:c r="F37" s="27"/>
      <x:c r="G37" s="27"/>
      <x:c r="H37" s="94"/>
      <x:c r="I37" s="27"/>
    </x:row>
    <x:row r="38">
      <x:c r="A38" s="80"/>
      <x:c r="B38" s="80"/>
      <x:c r="C38" s="80"/>
      <x:c r="D38" s="27"/>
      <x:c r="E38" s="93"/>
      <x:c r="F38" s="27"/>
      <x:c r="G38" s="27"/>
      <x:c r="H38" s="94"/>
      <x:c r="I38" s="27"/>
    </x:row>
    <x:row r="39">
      <x:c r="A39" s="80"/>
      <x:c r="B39" s="80"/>
      <x:c r="C39" s="80"/>
      <x:c r="D39" s="27"/>
      <x:c r="E39" s="93"/>
      <x:c r="F39" s="27"/>
      <x:c r="G39" s="27"/>
      <x:c r="H39" s="94"/>
      <x:c r="I39" s="27"/>
    </x:row>
    <x:row r="40">
      <x:c r="A40" s="80"/>
      <x:c r="B40" s="80"/>
      <x:c r="C40" s="80"/>
      <x:c r="D40" s="27"/>
      <x:c r="E40" s="93"/>
      <x:c r="F40" s="27"/>
      <x:c r="G40" s="27"/>
      <x:c r="H40" s="94"/>
      <x:c r="I40" s="27"/>
    </x:row>
    <x:row r="41">
      <x:c r="A41" s="80"/>
      <x:c r="B41" s="80"/>
      <x:c r="C41" s="80"/>
      <x:c r="D41" s="27"/>
      <x:c r="E41" s="93"/>
      <x:c r="F41" s="27"/>
      <x:c r="G41" s="27"/>
      <x:c r="H41" s="94"/>
      <x:c r="I41" s="27"/>
    </x:row>
    <x:row r="42">
      <x:c r="A42" s="80"/>
      <x:c r="B42" s="80"/>
      <x:c r="C42" s="80"/>
      <x:c r="D42" s="27"/>
      <x:c r="E42" s="93"/>
      <x:c r="F42" s="27"/>
      <x:c r="G42" s="27"/>
      <x:c r="H42" s="94"/>
      <x:c r="I42" s="27"/>
    </x:row>
    <x:row r="43">
      <x:c r="A43" s="80"/>
      <x:c r="B43" s="80"/>
      <x:c r="C43" s="80"/>
      <x:c r="D43" s="27"/>
      <x:c r="E43" s="93"/>
      <x:c r="F43" s="27"/>
      <x:c r="G43" s="27"/>
      <x:c r="H43" s="94"/>
      <x:c r="I43" s="27"/>
    </x:row>
    <x:row r="44">
      <x:c r="A44" s="80"/>
      <x:c r="B44" s="80"/>
      <x:c r="C44" s="80"/>
      <x:c r="D44" s="27"/>
      <x:c r="E44" s="93"/>
      <x:c r="F44" s="27"/>
      <x:c r="G44" s="27"/>
      <x:c r="H44" s="94"/>
      <x:c r="I44" s="27"/>
    </x:row>
    <x:row r="45">
      <x:c r="A45" s="80"/>
      <x:c r="B45" s="80"/>
      <x:c r="C45" s="80"/>
      <x:c r="D45" s="27"/>
      <x:c r="E45" s="93"/>
      <x:c r="F45" s="27"/>
      <x:c r="G45" s="27"/>
      <x:c r="H45" s="94"/>
      <x:c r="I45" s="27"/>
    </x:row>
    <x:row r="46">
      <x:c r="A46" s="80"/>
      <x:c r="B46" s="80"/>
      <x:c r="C46" s="80"/>
      <x:c r="D46" s="27"/>
      <x:c r="E46" s="93"/>
      <x:c r="F46" s="27"/>
      <x:c r="G46" s="27"/>
      <x:c r="H46" s="94"/>
      <x:c r="I46" s="27"/>
    </x:row>
    <x:row r="47">
      <x:c r="A47" s="80"/>
      <x:c r="B47" s="80"/>
      <x:c r="C47" s="80"/>
      <x:c r="D47" s="27"/>
      <x:c r="E47" s="93"/>
      <x:c r="F47" s="27"/>
      <x:c r="G47" s="27"/>
      <x:c r="H47" s="94"/>
      <x:c r="I47" s="27"/>
    </x:row>
    <x:row r="48">
      <x:c r="A48" s="80"/>
      <x:c r="B48" s="80"/>
      <x:c r="C48" s="80"/>
      <x:c r="D48" s="27"/>
      <x:c r="E48" s="93"/>
      <x:c r="F48" s="27"/>
      <x:c r="G48" s="27"/>
      <x:c r="H48" s="94"/>
      <x:c r="I48" s="27"/>
    </x:row>
    <x:row r="49">
      <x:c r="A49" s="80"/>
      <x:c r="B49" s="80"/>
      <x:c r="C49" s="80"/>
      <x:c r="D49" s="27"/>
      <x:c r="E49" s="93"/>
      <x:c r="F49" s="27"/>
      <x:c r="G49" s="27"/>
      <x:c r="H49" s="94"/>
      <x:c r="I49" s="27"/>
    </x:row>
    <x:row r="50">
      <x:c r="A50" s="80"/>
      <x:c r="B50" s="80"/>
      <x:c r="C50" s="80"/>
      <x:c r="D50" s="27"/>
      <x:c r="E50" s="93"/>
      <x:c r="F50" s="27"/>
      <x:c r="G50" s="27"/>
      <x:c r="H50" s="94"/>
      <x:c r="I50" s="27"/>
    </x:row>
    <x:row r="51">
      <x:c r="A51" s="80"/>
      <x:c r="B51" s="80"/>
      <x:c r="C51" s="80"/>
      <x:c r="D51" s="27"/>
      <x:c r="E51" s="93"/>
      <x:c r="F51" s="27"/>
      <x:c r="G51" s="27"/>
      <x:c r="H51" s="94"/>
      <x:c r="I51" s="27"/>
    </x:row>
    <x:row r="52">
      <x:c r="A52" s="80"/>
      <x:c r="B52" s="80"/>
      <x:c r="C52" s="80"/>
      <x:c r="D52" s="27"/>
      <x:c r="E52" s="93"/>
      <x:c r="F52" s="27"/>
      <x:c r="G52" s="27"/>
      <x:c r="H52" s="94"/>
      <x:c r="I52" s="27"/>
    </x:row>
    <x:row r="53">
      <x:c r="A53" s="80"/>
      <x:c r="B53" s="80"/>
      <x:c r="C53" s="80"/>
      <x:c r="D53" s="27"/>
      <x:c r="E53" s="93"/>
      <x:c r="F53" s="27"/>
      <x:c r="G53" s="27"/>
      <x:c r="H53" s="94"/>
      <x:c r="I53" s="27"/>
    </x:row>
    <x:row r="54">
      <x:c r="A54" s="80"/>
      <x:c r="B54" s="80"/>
      <x:c r="C54" s="80"/>
      <x:c r="D54" s="27"/>
      <x:c r="E54" s="93"/>
      <x:c r="F54" s="27"/>
      <x:c r="G54" s="27"/>
      <x:c r="H54" s="94"/>
      <x:c r="I54" s="27"/>
    </x:row>
    <x:row r="55">
      <x:c r="A55" s="80"/>
      <x:c r="B55" s="80"/>
      <x:c r="C55" s="80"/>
      <x:c r="D55" s="27"/>
      <x:c r="E55" s="93"/>
      <x:c r="F55" s="27"/>
      <x:c r="G55" s="27"/>
      <x:c r="H55" s="94"/>
      <x:c r="I55" s="27"/>
    </x:row>
    <x:row r="56">
      <x:c r="A56" s="80"/>
      <x:c r="B56" s="80"/>
      <x:c r="C56" s="80"/>
      <x:c r="D56" s="27"/>
      <x:c r="E56" s="93"/>
      <x:c r="F56" s="27"/>
      <x:c r="G56" s="27"/>
      <x:c r="H56" s="94"/>
      <x:c r="I56" s="27"/>
    </x:row>
    <x:row r="57">
      <x:c r="A57" s="80"/>
      <x:c r="B57" s="80"/>
      <x:c r="C57" s="80"/>
      <x:c r="D57" s="27"/>
      <x:c r="E57" s="93"/>
      <x:c r="F57" s="27"/>
      <x:c r="G57" s="27"/>
      <x:c r="H57" s="94"/>
      <x:c r="I57" s="27"/>
    </x:row>
    <x:row r="58">
      <x:c r="A58" s="80"/>
      <x:c r="B58" s="80"/>
      <x:c r="C58" s="80"/>
      <x:c r="D58" s="27"/>
      <x:c r="E58" s="93"/>
      <x:c r="F58" s="27"/>
      <x:c r="G58" s="27"/>
      <x:c r="H58" s="94"/>
      <x:c r="I58" s="27"/>
    </x:row>
    <x:row r="59">
      <x:c r="A59" s="80"/>
      <x:c r="B59" s="80"/>
      <x:c r="C59" s="80"/>
      <x:c r="D59" s="27"/>
      <x:c r="E59" s="93"/>
      <x:c r="F59" s="27"/>
      <x:c r="G59" s="27"/>
      <x:c r="H59" s="94"/>
      <x:c r="I59" s="27"/>
    </x:row>
    <x:row r="60">
      <x:c r="A60" s="80"/>
      <x:c r="B60" s="80"/>
      <x:c r="C60" s="80"/>
      <x:c r="D60" s="27"/>
      <x:c r="E60" s="93"/>
      <x:c r="F60" s="27"/>
      <x:c r="G60" s="27"/>
      <x:c r="H60" s="94"/>
      <x:c r="I60" s="27"/>
    </x:row>
    <x:row r="61">
      <x:c r="A61" s="80"/>
      <x:c r="B61" s="80"/>
      <x:c r="C61" s="80"/>
      <x:c r="D61" s="27"/>
      <x:c r="E61" s="93"/>
      <x:c r="F61" s="27"/>
      <x:c r="G61" s="27"/>
      <x:c r="H61" s="94"/>
      <x:c r="I61" s="27"/>
    </x:row>
    <x:row r="62">
      <x:c r="A62" s="80"/>
      <x:c r="B62" s="80"/>
      <x:c r="C62" s="80"/>
      <x:c r="D62" s="27"/>
      <x:c r="E62" s="93"/>
      <x:c r="F62" s="27"/>
      <x:c r="G62" s="27"/>
      <x:c r="H62" s="94"/>
      <x:c r="I62" s="27"/>
    </x:row>
    <x:row r="63">
      <x:c r="A63" s="80"/>
      <x:c r="B63" s="80"/>
      <x:c r="C63" s="80"/>
      <x:c r="D63" s="27"/>
      <x:c r="E63" s="93"/>
      <x:c r="F63" s="27"/>
      <x:c r="G63" s="27"/>
      <x:c r="H63" s="94"/>
      <x:c r="I63" s="27"/>
    </x:row>
    <x:row r="64">
      <x:c r="A64" s="80"/>
      <x:c r="B64" s="80"/>
      <x:c r="C64" s="80"/>
      <x:c r="D64" s="27"/>
      <x:c r="E64" s="93"/>
      <x:c r="F64" s="27"/>
      <x:c r="G64" s="27"/>
      <x:c r="H64" s="94"/>
      <x:c r="I64" s="27"/>
    </x:row>
    <x:row r="65">
      <x:c r="A65" s="80"/>
      <x:c r="B65" s="80"/>
      <x:c r="C65" s="80"/>
      <x:c r="D65" s="27"/>
      <x:c r="E65" s="93"/>
      <x:c r="F65" s="27"/>
      <x:c r="G65" s="27"/>
      <x:c r="H65" s="94"/>
      <x:c r="I65" s="27"/>
    </x:row>
    <x:row r="66">
      <x:c r="A66" s="80"/>
      <x:c r="B66" s="80"/>
      <x:c r="C66" s="80"/>
      <x:c r="D66" s="27"/>
      <x:c r="E66" s="93"/>
      <x:c r="F66" s="27"/>
      <x:c r="G66" s="27"/>
      <x:c r="H66" s="94"/>
      <x:c r="I66" s="27"/>
    </x:row>
    <x:row r="67">
      <x:c r="A67" s="80"/>
      <x:c r="B67" s="80"/>
      <x:c r="C67" s="80"/>
      <x:c r="D67" s="27"/>
      <x:c r="E67" s="93"/>
      <x:c r="F67" s="27"/>
      <x:c r="G67" s="27"/>
      <x:c r="H67" s="94"/>
      <x:c r="I67" s="27"/>
    </x:row>
    <x:row r="68">
      <x:c r="A68" s="80"/>
      <x:c r="B68" s="80"/>
      <x:c r="C68" s="80"/>
      <x:c r="D68" s="27"/>
      <x:c r="E68" s="93"/>
      <x:c r="F68" s="27"/>
      <x:c r="G68" s="27"/>
      <x:c r="H68" s="94"/>
      <x:c r="I68" s="27"/>
    </x:row>
    <x:row r="69">
      <x:c r="A69" s="80"/>
      <x:c r="B69" s="80"/>
      <x:c r="C69" s="80"/>
      <x:c r="D69" s="27"/>
      <x:c r="E69" s="93"/>
      <x:c r="F69" s="27"/>
      <x:c r="G69" s="27"/>
      <x:c r="H69" s="94"/>
      <x:c r="I69" s="27"/>
    </x:row>
    <x:row r="70">
      <x:c r="A70" s="80"/>
      <x:c r="B70" s="80"/>
      <x:c r="C70" s="80"/>
      <x:c r="D70" s="27"/>
      <x:c r="E70" s="93"/>
      <x:c r="F70" s="27"/>
      <x:c r="G70" s="27"/>
      <x:c r="H70" s="94"/>
      <x:c r="I70" s="27"/>
    </x:row>
    <x:row r="71">
      <x:c r="A71" s="80"/>
      <x:c r="B71" s="80"/>
      <x:c r="C71" s="80"/>
      <x:c r="D71" s="27"/>
      <x:c r="E71" s="93"/>
      <x:c r="F71" s="27"/>
      <x:c r="G71" s="27"/>
      <x:c r="H71" s="94"/>
      <x:c r="I71" s="27"/>
    </x:row>
    <x:row r="72">
      <x:c r="A72" s="80"/>
      <x:c r="B72" s="80"/>
      <x:c r="C72" s="80"/>
      <x:c r="D72" s="27"/>
      <x:c r="E72" s="93"/>
      <x:c r="F72" s="27"/>
      <x:c r="G72" s="27"/>
      <x:c r="H72" s="94"/>
      <x:c r="I72" s="27"/>
    </x:row>
    <x:row r="73">
      <x:c r="A73" s="80"/>
      <x:c r="B73" s="80"/>
      <x:c r="C73" s="80"/>
      <x:c r="D73" s="27"/>
      <x:c r="E73" s="93"/>
      <x:c r="F73" s="27"/>
      <x:c r="G73" s="27"/>
      <x:c r="H73" s="94"/>
      <x:c r="I73" s="27"/>
    </x:row>
    <x:row r="74">
      <x:c r="A74" s="80"/>
      <x:c r="B74" s="80"/>
      <x:c r="C74" s="80"/>
      <x:c r="D74" s="27"/>
      <x:c r="E74" s="93"/>
      <x:c r="F74" s="27"/>
      <x:c r="G74" s="27"/>
      <x:c r="H74" s="94"/>
      <x:c r="I74" s="27"/>
    </x:row>
    <x:row r="75">
      <x:c r="A75" s="80"/>
      <x:c r="B75" s="80"/>
      <x:c r="C75" s="80"/>
      <x:c r="D75" s="27"/>
      <x:c r="E75" s="93"/>
      <x:c r="F75" s="27"/>
      <x:c r="G75" s="27"/>
      <x:c r="H75" s="94"/>
      <x:c r="I75" s="27"/>
    </x:row>
    <x:row r="76">
      <x:c r="A76" s="80"/>
      <x:c r="B76" s="80"/>
      <x:c r="C76" s="80"/>
      <x:c r="D76" s="27"/>
      <x:c r="E76" s="93"/>
      <x:c r="F76" s="27"/>
      <x:c r="G76" s="27"/>
      <x:c r="H76" s="94"/>
      <x:c r="I76" s="27"/>
    </x:row>
    <x:row r="77">
      <x:c r="A77" s="80"/>
      <x:c r="B77" s="80"/>
      <x:c r="C77" s="80"/>
      <x:c r="D77" s="27"/>
      <x:c r="E77" s="93"/>
      <x:c r="F77" s="27"/>
      <x:c r="G77" s="27"/>
      <x:c r="H77" s="94"/>
      <x:c r="I77" s="27"/>
    </x:row>
    <x:row r="78">
      <x:c r="A78" s="80"/>
      <x:c r="B78" s="80"/>
      <x:c r="C78" s="80"/>
      <x:c r="D78" s="27"/>
      <x:c r="E78" s="93"/>
      <x:c r="F78" s="27"/>
      <x:c r="G78" s="27"/>
      <x:c r="H78" s="94"/>
      <x:c r="I78" s="27"/>
    </x:row>
    <x:row r="79">
      <x:c r="A79" s="80"/>
      <x:c r="B79" s="80"/>
      <x:c r="C79" s="80"/>
      <x:c r="D79" s="27"/>
      <x:c r="E79" s="93"/>
      <x:c r="F79" s="27"/>
      <x:c r="G79" s="27"/>
      <x:c r="H79" s="94"/>
      <x:c r="I79" s="27"/>
    </x:row>
    <x:row r="80">
      <x:c r="A80" s="80"/>
      <x:c r="B80" s="80"/>
      <x:c r="C80" s="80"/>
      <x:c r="D80" s="27"/>
      <x:c r="E80" s="93"/>
      <x:c r="F80" s="27"/>
      <x:c r="G80" s="27"/>
      <x:c r="H80" s="94"/>
      <x:c r="I80" s="27"/>
    </x:row>
    <x:row r="81">
      <x:c r="A81" s="80"/>
      <x:c r="B81" s="80"/>
      <x:c r="C81" s="80"/>
      <x:c r="D81" s="27"/>
      <x:c r="E81" s="93"/>
      <x:c r="F81" s="27"/>
      <x:c r="G81" s="27"/>
      <x:c r="H81" s="94"/>
      <x:c r="I81" s="27"/>
    </x:row>
    <x:row r="82">
      <x:c r="A82" s="80"/>
      <x:c r="B82" s="80"/>
      <x:c r="C82" s="80"/>
      <x:c r="D82" s="27"/>
      <x:c r="E82" s="93"/>
      <x:c r="F82" s="27"/>
      <x:c r="G82" s="27"/>
      <x:c r="H82" s="94"/>
      <x:c r="I82" s="27"/>
    </x:row>
    <x:row r="83">
      <x:c r="A83" s="80"/>
      <x:c r="B83" s="80"/>
      <x:c r="C83" s="80"/>
      <x:c r="D83" s="27"/>
      <x:c r="E83" s="93"/>
      <x:c r="F83" s="27"/>
      <x:c r="G83" s="27"/>
      <x:c r="H83" s="94"/>
      <x:c r="I83" s="27"/>
    </x:row>
    <x:row r="84">
      <x:c r="A84" s="80"/>
      <x:c r="B84" s="80"/>
      <x:c r="C84" s="80"/>
      <x:c r="D84" s="27"/>
      <x:c r="E84" s="93"/>
      <x:c r="F84" s="27"/>
      <x:c r="G84" s="27"/>
      <x:c r="H84" s="94"/>
      <x:c r="I84" s="27"/>
    </x:row>
    <x:row r="85">
      <x:c r="A85" s="80"/>
      <x:c r="B85" s="80"/>
      <x:c r="C85" s="80"/>
      <x:c r="D85" s="27"/>
      <x:c r="E85" s="93"/>
      <x:c r="F85" s="27"/>
      <x:c r="G85" s="27"/>
      <x:c r="H85" s="94"/>
      <x:c r="I85" s="27"/>
    </x:row>
    <x:row r="86">
      <x:c r="A86" s="80"/>
      <x:c r="B86" s="80"/>
      <x:c r="C86" s="80"/>
      <x:c r="D86" s="27"/>
      <x:c r="E86" s="93"/>
      <x:c r="F86" s="27"/>
      <x:c r="G86" s="27"/>
      <x:c r="H86" s="94"/>
      <x:c r="I86" s="27"/>
    </x:row>
    <x:row r="87">
      <x:c r="A87" s="80"/>
      <x:c r="B87" s="80"/>
      <x:c r="C87" s="80"/>
      <x:c r="D87" s="27"/>
      <x:c r="E87" s="93"/>
      <x:c r="F87" s="27"/>
      <x:c r="G87" s="27"/>
      <x:c r="H87" s="94"/>
      <x:c r="I87" s="27"/>
    </x:row>
    <x:row r="88">
      <x:c r="A88" s="80"/>
      <x:c r="B88" s="80"/>
      <x:c r="C88" s="80"/>
      <x:c r="D88" s="27"/>
      <x:c r="E88" s="93"/>
      <x:c r="F88" s="27"/>
      <x:c r="G88" s="27"/>
      <x:c r="H88" s="94"/>
      <x:c r="I88" s="27"/>
    </x:row>
    <x:row r="89">
      <x:c r="A89" s="80"/>
      <x:c r="B89" s="80"/>
      <x:c r="C89" s="80"/>
      <x:c r="D89" s="27"/>
      <x:c r="E89" s="93"/>
      <x:c r="F89" s="27"/>
      <x:c r="G89" s="27"/>
      <x:c r="H89" s="94"/>
      <x:c r="I89" s="27"/>
    </x:row>
    <x:row r="90">
      <x:c r="A90" s="80"/>
      <x:c r="B90" s="80"/>
      <x:c r="C90" s="80"/>
      <x:c r="D90" s="27"/>
      <x:c r="E90" s="93"/>
      <x:c r="F90" s="27"/>
      <x:c r="G90" s="27"/>
      <x:c r="H90" s="94"/>
      <x:c r="I90" s="27"/>
    </x:row>
    <x:row r="91">
      <x:c r="A91" s="80"/>
      <x:c r="B91" s="80"/>
      <x:c r="C91" s="80"/>
      <x:c r="D91" s="27"/>
      <x:c r="E91" s="93"/>
      <x:c r="F91" s="27"/>
      <x:c r="G91" s="27"/>
      <x:c r="H91" s="94"/>
      <x:c r="I91" s="27"/>
    </x:row>
    <x:row r="92">
      <x:c r="A92" s="80"/>
      <x:c r="B92" s="80"/>
      <x:c r="C92" s="80"/>
      <x:c r="D92" s="27"/>
      <x:c r="E92" s="93"/>
      <x:c r="F92" s="27"/>
      <x:c r="G92" s="27"/>
      <x:c r="H92" s="94"/>
      <x:c r="I92" s="27"/>
    </x:row>
    <x:row r="93">
      <x:c r="A93" s="80"/>
      <x:c r="B93" s="80"/>
      <x:c r="C93" s="80"/>
      <x:c r="D93" s="27"/>
      <x:c r="E93" s="93"/>
      <x:c r="F93" s="27"/>
      <x:c r="G93" s="27"/>
      <x:c r="H93" s="94"/>
      <x:c r="I93" s="27"/>
    </x:row>
    <x:row r="94">
      <x:c r="A94" s="80"/>
      <x:c r="B94" s="80"/>
      <x:c r="C94" s="80"/>
      <x:c r="D94" s="27"/>
      <x:c r="E94" s="93"/>
      <x:c r="F94" s="27"/>
      <x:c r="G94" s="27"/>
      <x:c r="H94" s="94"/>
      <x:c r="I94" s="27"/>
    </x:row>
    <x:row r="95">
      <x:c r="A95" s="80"/>
      <x:c r="B95" s="80"/>
      <x:c r="C95" s="80"/>
      <x:c r="D95" s="27"/>
      <x:c r="E95" s="93"/>
      <x:c r="F95" s="27"/>
      <x:c r="G95" s="27"/>
      <x:c r="H95" s="94"/>
      <x:c r="I95" s="27"/>
    </x:row>
    <x:row r="96">
      <x:c r="A96" s="80"/>
      <x:c r="B96" s="80"/>
      <x:c r="C96" s="80"/>
      <x:c r="D96" s="27"/>
      <x:c r="E96" s="93"/>
      <x:c r="F96" s="27"/>
      <x:c r="G96" s="27"/>
      <x:c r="H96" s="94"/>
      <x:c r="I96" s="27"/>
    </x:row>
    <x:row r="97">
      <x:c r="A97" s="80"/>
      <x:c r="B97" s="80"/>
      <x:c r="C97" s="80"/>
      <x:c r="D97" s="27"/>
      <x:c r="E97" s="93"/>
      <x:c r="F97" s="27"/>
      <x:c r="G97" s="27"/>
      <x:c r="H97" s="94"/>
      <x:c r="I97" s="27"/>
    </x:row>
    <x:row r="98">
      <x:c r="A98" s="80"/>
      <x:c r="B98" s="80"/>
      <x:c r="C98" s="80"/>
      <x:c r="D98" s="27"/>
      <x:c r="E98" s="93"/>
      <x:c r="F98" s="27"/>
      <x:c r="G98" s="27"/>
      <x:c r="H98" s="94"/>
      <x:c r="I98" s="27"/>
    </x:row>
    <x:row r="99">
      <x:c r="A99" s="80"/>
      <x:c r="B99" s="80"/>
      <x:c r="C99" s="80"/>
      <x:c r="D99" s="27"/>
      <x:c r="E99" s="93"/>
      <x:c r="F99" s="27"/>
      <x:c r="G99" s="27"/>
      <x:c r="H99" s="94"/>
      <x:c r="I99" s="27"/>
    </x:row>
    <x:row r="100">
      <x:c r="A100" s="80"/>
      <x:c r="B100" s="80"/>
      <x:c r="C100" s="80"/>
      <x:c r="D100" s="27"/>
      <x:c r="E100" s="93"/>
      <x:c r="F100" s="27"/>
      <x:c r="G100" s="27"/>
      <x:c r="H100" s="94"/>
      <x:c r="I100" s="27"/>
    </x:row>
    <x:row r="101">
      <x:c r="A101" s="80"/>
      <x:c r="B101" s="80"/>
      <x:c r="C101" s="80"/>
      <x:c r="D101" s="27"/>
      <x:c r="E101" s="93"/>
      <x:c r="F101" s="27"/>
      <x:c r="G101" s="27"/>
      <x:c r="H101" s="94"/>
      <x:c r="I101" s="27"/>
    </x:row>
    <x:row r="102">
      <x:c r="A102" s="80"/>
      <x:c r="B102" s="80"/>
      <x:c r="C102" s="80"/>
      <x:c r="D102" s="27"/>
      <x:c r="E102" s="93"/>
      <x:c r="F102" s="27"/>
      <x:c r="G102" s="27"/>
      <x:c r="H102" s="94"/>
      <x:c r="I102" s="27"/>
    </x:row>
    <x:row r="103">
      <x:c r="A103" s="80"/>
      <x:c r="B103" s="80"/>
      <x:c r="C103" s="80"/>
      <x:c r="D103" s="27"/>
      <x:c r="E103" s="93"/>
      <x:c r="F103" s="27"/>
      <x:c r="G103" s="27"/>
      <x:c r="H103" s="94"/>
      <x:c r="I103" s="27"/>
    </x:row>
    <x:row r="104">
      <x:c r="A104" s="80"/>
      <x:c r="B104" s="80"/>
      <x:c r="C104" s="80"/>
      <x:c r="D104" s="27"/>
      <x:c r="E104" s="93"/>
      <x:c r="F104" s="27"/>
      <x:c r="G104" s="27"/>
      <x:c r="H104" s="94"/>
      <x:c r="I104" s="27"/>
    </x:row>
    <x:row r="105">
      <x:c r="A105" s="80"/>
      <x:c r="B105" s="80"/>
      <x:c r="C105" s="80"/>
      <x:c r="D105" s="27"/>
      <x:c r="E105" s="93"/>
      <x:c r="F105" s="27"/>
      <x:c r="G105" s="27"/>
      <x:c r="H105" s="94"/>
      <x:c r="I105" s="27"/>
    </x:row>
    <x:row r="106">
      <x:c r="A106" s="80"/>
      <x:c r="B106" s="80"/>
      <x:c r="C106" s="80"/>
      <x:c r="D106" s="27"/>
      <x:c r="E106" s="93"/>
      <x:c r="F106" s="27"/>
      <x:c r="G106" s="27"/>
      <x:c r="H106" s="94"/>
      <x:c r="I106" s="27"/>
    </x:row>
    <x:row r="107">
      <x:c r="A107" s="80"/>
      <x:c r="B107" s="80"/>
      <x:c r="C107" s="80"/>
      <x:c r="D107" s="27"/>
      <x:c r="E107" s="93"/>
      <x:c r="F107" s="27"/>
      <x:c r="G107" s="27"/>
      <x:c r="H107" s="94"/>
      <x:c r="I107" s="27"/>
    </x:row>
    <x:row r="108">
      <x:c r="A108" s="80"/>
      <x:c r="B108" s="80"/>
      <x:c r="C108" s="80"/>
      <x:c r="D108" s="27"/>
      <x:c r="E108" s="93"/>
      <x:c r="F108" s="27"/>
      <x:c r="G108" s="27"/>
      <x:c r="H108" s="94"/>
      <x:c r="I108" s="27"/>
    </x:row>
    <x:row r="109">
      <x:c r="A109" s="80"/>
      <x:c r="B109" s="80"/>
      <x:c r="C109" s="80"/>
      <x:c r="D109" s="27"/>
      <x:c r="E109" s="93"/>
      <x:c r="F109" s="27"/>
      <x:c r="G109" s="27"/>
      <x:c r="H109" s="94"/>
      <x:c r="I109" s="27"/>
    </x:row>
    <x:row r="110">
      <x:c r="A110" s="80"/>
      <x:c r="B110" s="80"/>
      <x:c r="C110" s="80"/>
      <x:c r="D110" s="27"/>
      <x:c r="E110" s="93"/>
      <x:c r="F110" s="27"/>
      <x:c r="G110" s="27"/>
      <x:c r="H110" s="94"/>
      <x:c r="I110" s="27"/>
    </x:row>
    <x:row r="111">
      <x:c r="A111" s="80"/>
      <x:c r="B111" s="80"/>
      <x:c r="C111" s="80"/>
      <x:c r="D111" s="27"/>
      <x:c r="E111" s="93"/>
      <x:c r="F111" s="27"/>
      <x:c r="G111" s="27"/>
      <x:c r="H111" s="94"/>
      <x:c r="I111" s="27"/>
    </x:row>
    <x:row r="112">
      <x:c r="A112" s="80"/>
      <x:c r="B112" s="80"/>
      <x:c r="C112" s="80"/>
      <x:c r="D112" s="27"/>
      <x:c r="E112" s="93"/>
      <x:c r="F112" s="27"/>
      <x:c r="G112" s="27"/>
      <x:c r="H112" s="94"/>
      <x:c r="I112" s="27"/>
    </x:row>
    <x:row r="113">
      <x:c r="A113" s="80"/>
      <x:c r="B113" s="80"/>
      <x:c r="C113" s="80"/>
      <x:c r="D113" s="27"/>
      <x:c r="E113" s="93"/>
      <x:c r="F113" s="27"/>
      <x:c r="G113" s="27"/>
      <x:c r="H113" s="94"/>
      <x:c r="I113" s="27"/>
    </x:row>
    <x:row r="114">
      <x:c r="A114" s="80"/>
      <x:c r="B114" s="80"/>
      <x:c r="C114" s="80"/>
      <x:c r="D114" s="27"/>
      <x:c r="E114" s="93"/>
      <x:c r="F114" s="27"/>
      <x:c r="G114" s="27"/>
      <x:c r="H114" s="94"/>
      <x:c r="I114" s="27"/>
    </x:row>
    <x:row r="115">
      <x:c r="A115" s="80"/>
      <x:c r="B115" s="80"/>
      <x:c r="C115" s="80"/>
      <x:c r="D115" s="27"/>
      <x:c r="E115" s="93"/>
      <x:c r="F115" s="27"/>
      <x:c r="G115" s="27"/>
      <x:c r="H115" s="94"/>
      <x:c r="I115" s="27"/>
    </x:row>
    <x:row r="116">
      <x:c r="A116" s="80"/>
      <x:c r="B116" s="80"/>
      <x:c r="C116" s="80"/>
      <x:c r="D116" s="27"/>
      <x:c r="E116" s="93"/>
      <x:c r="F116" s="27"/>
      <x:c r="G116" s="27"/>
      <x:c r="H116" s="94"/>
      <x:c r="I116" s="27"/>
    </x:row>
    <x:row r="117">
      <x:c r="A117" s="80"/>
      <x:c r="B117" s="80"/>
      <x:c r="C117" s="80"/>
      <x:c r="D117" s="27"/>
      <x:c r="E117" s="93"/>
      <x:c r="F117" s="27"/>
      <x:c r="G117" s="27"/>
      <x:c r="H117" s="94"/>
      <x:c r="I117" s="27"/>
    </x:row>
    <x:row r="118">
      <x:c r="A118" s="80"/>
      <x:c r="B118" s="80"/>
      <x:c r="C118" s="80"/>
      <x:c r="D118" s="27"/>
      <x:c r="E118" s="93"/>
      <x:c r="F118" s="27"/>
      <x:c r="G118" s="27"/>
      <x:c r="H118" s="94"/>
      <x:c r="I118" s="27"/>
    </x:row>
    <x:row r="119">
      <x:c r="A119" s="80"/>
      <x:c r="B119" s="80"/>
      <x:c r="C119" s="80"/>
      <x:c r="D119" s="27"/>
      <x:c r="E119" s="93"/>
      <x:c r="F119" s="27"/>
      <x:c r="G119" s="27"/>
      <x:c r="H119" s="94"/>
      <x:c r="I119" s="27"/>
    </x:row>
    <x:row r="120">
      <x:c r="A120" s="80"/>
      <x:c r="B120" s="80"/>
      <x:c r="C120" s="80"/>
      <x:c r="D120" s="27"/>
      <x:c r="E120" s="93"/>
      <x:c r="F120" s="27"/>
      <x:c r="G120" s="27"/>
      <x:c r="H120" s="94"/>
      <x:c r="I120" s="27"/>
    </x:row>
    <x:row r="121">
      <x:c r="A121" s="80"/>
      <x:c r="B121" s="80"/>
      <x:c r="C121" s="80"/>
      <x:c r="D121" s="27"/>
      <x:c r="E121" s="93"/>
      <x:c r="F121" s="27"/>
      <x:c r="G121" s="27"/>
      <x:c r="H121" s="94"/>
      <x:c r="I121" s="27"/>
    </x:row>
    <x:row r="122">
      <x:c r="A122" s="80"/>
      <x:c r="B122" s="80"/>
      <x:c r="C122" s="80"/>
      <x:c r="D122" s="27"/>
      <x:c r="E122" s="93"/>
      <x:c r="F122" s="27"/>
      <x:c r="G122" s="27"/>
      <x:c r="H122" s="94"/>
      <x:c r="I122" s="27"/>
    </x:row>
    <x:row r="123">
      <x:c r="A123" s="80"/>
      <x:c r="B123" s="80"/>
      <x:c r="C123" s="80"/>
      <x:c r="D123" s="27"/>
      <x:c r="E123" s="93"/>
      <x:c r="F123" s="27"/>
      <x:c r="G123" s="27"/>
      <x:c r="H123" s="94"/>
      <x:c r="I123" s="27"/>
    </x:row>
    <x:row r="124">
      <x:c r="A124" s="80"/>
      <x:c r="B124" s="80"/>
      <x:c r="C124" s="80"/>
      <x:c r="D124" s="27"/>
      <x:c r="E124" s="93"/>
      <x:c r="F124" s="27"/>
      <x:c r="G124" s="27"/>
      <x:c r="H124" s="94"/>
      <x:c r="I124" s="27"/>
    </x:row>
    <x:row r="125">
      <x:c r="A125" s="80"/>
      <x:c r="B125" s="80"/>
      <x:c r="C125" s="80"/>
      <x:c r="D125" s="27"/>
      <x:c r="E125" s="93"/>
      <x:c r="F125" s="27"/>
      <x:c r="G125" s="27"/>
      <x:c r="H125" s="94"/>
      <x:c r="I125" s="27"/>
    </x:row>
    <x:row r="126">
      <x:c r="A126" s="80"/>
      <x:c r="B126" s="80"/>
      <x:c r="C126" s="80"/>
      <x:c r="D126" s="27"/>
      <x:c r="E126" s="93"/>
      <x:c r="F126" s="27"/>
      <x:c r="G126" s="27"/>
      <x:c r="H126" s="94"/>
      <x:c r="I126" s="27"/>
    </x:row>
    <x:row r="127">
      <x:c r="A127" s="80"/>
      <x:c r="B127" s="80"/>
      <x:c r="C127" s="80"/>
      <x:c r="D127" s="27"/>
      <x:c r="E127" s="93"/>
      <x:c r="F127" s="27"/>
      <x:c r="G127" s="27"/>
      <x:c r="H127" s="94"/>
      <x:c r="I127" s="27"/>
    </x:row>
    <x:row r="128">
      <x:c r="A128" s="80"/>
      <x:c r="B128" s="80"/>
      <x:c r="C128" s="80"/>
      <x:c r="D128" s="27"/>
      <x:c r="E128" s="93"/>
      <x:c r="F128" s="27"/>
      <x:c r="G128" s="27"/>
      <x:c r="H128" s="94"/>
      <x:c r="I128" s="27"/>
    </x:row>
    <x:row r="129">
      <x:c r="A129" s="80"/>
      <x:c r="B129" s="80"/>
      <x:c r="C129" s="80"/>
      <x:c r="D129" s="27"/>
      <x:c r="E129" s="93"/>
      <x:c r="F129" s="27"/>
      <x:c r="G129" s="27"/>
      <x:c r="H129" s="94"/>
      <x:c r="I129" s="27"/>
    </x:row>
    <x:row r="130">
      <x:c r="A130" s="80"/>
      <x:c r="B130" s="80"/>
      <x:c r="C130" s="80"/>
      <x:c r="D130" s="27"/>
      <x:c r="E130" s="93"/>
      <x:c r="F130" s="27"/>
      <x:c r="G130" s="27"/>
      <x:c r="H130" s="94"/>
      <x:c r="I130" s="27"/>
    </x:row>
    <x:row r="131">
      <x:c r="A131" s="80"/>
      <x:c r="B131" s="80"/>
      <x:c r="C131" s="80"/>
      <x:c r="D131" s="27"/>
      <x:c r="E131" s="93"/>
      <x:c r="F131" s="27"/>
      <x:c r="G131" s="27"/>
      <x:c r="H131" s="94"/>
      <x:c r="I131" s="27"/>
    </x:row>
    <x:row r="132">
      <x:c r="A132" s="80"/>
      <x:c r="B132" s="80"/>
      <x:c r="C132" s="80"/>
      <x:c r="D132" s="27"/>
      <x:c r="E132" s="93"/>
      <x:c r="F132" s="27"/>
      <x:c r="G132" s="27"/>
      <x:c r="H132" s="94"/>
      <x:c r="I132" s="27"/>
    </x:row>
    <x:row r="133">
      <x:c r="A133" s="80"/>
      <x:c r="B133" s="80"/>
      <x:c r="C133" s="80"/>
      <x:c r="D133" s="27"/>
      <x:c r="E133" s="93"/>
      <x:c r="F133" s="27"/>
      <x:c r="G133" s="27"/>
      <x:c r="H133" s="94"/>
      <x:c r="I133" s="27"/>
    </x:row>
    <x:row r="134">
      <x:c r="A134" s="80"/>
      <x:c r="B134" s="80"/>
      <x:c r="C134" s="80"/>
      <x:c r="D134" s="27"/>
      <x:c r="E134" s="93"/>
      <x:c r="F134" s="27"/>
      <x:c r="G134" s="27"/>
      <x:c r="H134" s="94"/>
      <x:c r="I134" s="27"/>
    </x:row>
    <x:row r="135">
      <x:c r="A135" s="80"/>
      <x:c r="B135" s="80"/>
      <x:c r="C135" s="80"/>
      <x:c r="D135" s="27"/>
      <x:c r="E135" s="93"/>
      <x:c r="F135" s="27"/>
      <x:c r="G135" s="27"/>
      <x:c r="H135" s="94"/>
      <x:c r="I135" s="27"/>
    </x:row>
    <x:row r="136">
      <x:c r="A136" s="80"/>
      <x:c r="B136" s="80"/>
      <x:c r="C136" s="80"/>
      <x:c r="D136" s="27"/>
      <x:c r="E136" s="93"/>
      <x:c r="F136" s="27"/>
      <x:c r="G136" s="27"/>
      <x:c r="H136" s="94"/>
      <x:c r="I136" s="27"/>
    </x:row>
    <x:row r="137">
      <x:c r="A137" s="80"/>
      <x:c r="B137" s="80"/>
      <x:c r="C137" s="80"/>
      <x:c r="D137" s="27"/>
      <x:c r="E137" s="93"/>
      <x:c r="F137" s="27"/>
      <x:c r="G137" s="27"/>
      <x:c r="H137" s="94"/>
      <x:c r="I137" s="27"/>
    </x:row>
    <x:row r="138">
      <x:c r="A138" s="80"/>
      <x:c r="B138" s="80"/>
      <x:c r="C138" s="80"/>
      <x:c r="D138" s="27"/>
      <x:c r="E138" s="93"/>
      <x:c r="F138" s="27"/>
      <x:c r="G138" s="27"/>
      <x:c r="H138" s="94"/>
      <x:c r="I138" s="27"/>
    </x:row>
    <x:row r="139">
      <x:c r="A139" s="80"/>
      <x:c r="B139" s="80"/>
      <x:c r="C139" s="80"/>
      <x:c r="D139" s="27"/>
      <x:c r="E139" s="93"/>
      <x:c r="F139" s="27"/>
      <x:c r="G139" s="27"/>
      <x:c r="H139" s="94"/>
      <x:c r="I139" s="27"/>
    </x:row>
    <x:row r="140">
      <x:c r="A140" s="80"/>
      <x:c r="B140" s="80"/>
      <x:c r="C140" s="80"/>
      <x:c r="D140" s="27"/>
      <x:c r="E140" s="93"/>
      <x:c r="F140" s="27"/>
      <x:c r="G140" s="27"/>
      <x:c r="H140" s="94"/>
      <x:c r="I140" s="27"/>
    </x:row>
    <x:row r="141">
      <x:c r="A141" s="80"/>
      <x:c r="B141" s="80"/>
      <x:c r="C141" s="80"/>
      <x:c r="D141" s="27"/>
      <x:c r="E141" s="93"/>
      <x:c r="F141" s="27"/>
      <x:c r="G141" s="27"/>
      <x:c r="H141" s="94"/>
      <x:c r="I141" s="27"/>
    </x:row>
    <x:row r="142">
      <x:c r="A142" s="80"/>
      <x:c r="B142" s="80"/>
      <x:c r="C142" s="80"/>
      <x:c r="D142" s="27"/>
      <x:c r="E142" s="93"/>
      <x:c r="F142" s="27"/>
      <x:c r="G142" s="27"/>
      <x:c r="H142" s="94"/>
      <x:c r="I142" s="27"/>
    </x:row>
    <x:row r="143">
      <x:c r="A143" s="80"/>
      <x:c r="B143" s="80"/>
      <x:c r="C143" s="80"/>
      <x:c r="D143" s="27"/>
      <x:c r="E143" s="93"/>
      <x:c r="F143" s="27"/>
      <x:c r="G143" s="27"/>
      <x:c r="H143" s="94"/>
      <x:c r="I143" s="27"/>
    </x:row>
    <x:row r="144">
      <x:c r="A144" s="80"/>
      <x:c r="B144" s="80"/>
      <x:c r="C144" s="80"/>
      <x:c r="D144" s="27"/>
      <x:c r="E144" s="93"/>
      <x:c r="F144" s="27"/>
      <x:c r="G144" s="27"/>
      <x:c r="H144" s="94"/>
      <x:c r="I144" s="27"/>
    </x:row>
    <x:row r="145">
      <x:c r="A145" s="80"/>
      <x:c r="B145" s="80"/>
      <x:c r="C145" s="80"/>
      <x:c r="D145" s="27"/>
      <x:c r="E145" s="93"/>
      <x:c r="F145" s="27"/>
      <x:c r="G145" s="27"/>
      <x:c r="H145" s="94"/>
      <x:c r="I145" s="27"/>
    </x:row>
    <x:row r="146">
      <x:c r="A146" s="80"/>
      <x:c r="B146" s="80"/>
      <x:c r="C146" s="80"/>
      <x:c r="D146" s="27"/>
      <x:c r="E146" s="93"/>
      <x:c r="F146" s="27"/>
      <x:c r="G146" s="27"/>
      <x:c r="H146" s="94"/>
      <x:c r="I146" s="27"/>
    </x:row>
    <x:row r="147">
      <x:c r="A147" s="80"/>
      <x:c r="B147" s="80"/>
      <x:c r="C147" s="80"/>
      <x:c r="D147" s="27"/>
      <x:c r="E147" s="93"/>
      <x:c r="F147" s="27"/>
      <x:c r="G147" s="27"/>
      <x:c r="H147" s="94"/>
      <x:c r="I147" s="27"/>
    </x:row>
    <x:row r="148">
      <x:c r="A148" s="80"/>
      <x:c r="B148" s="80"/>
      <x:c r="C148" s="80"/>
      <x:c r="D148" s="27"/>
      <x:c r="E148" s="93"/>
      <x:c r="F148" s="27"/>
      <x:c r="G148" s="27"/>
      <x:c r="H148" s="94"/>
      <x:c r="I148" s="27"/>
    </x:row>
    <x:row r="149">
      <x:c r="A149" s="80"/>
      <x:c r="B149" s="80"/>
      <x:c r="C149" s="80"/>
      <x:c r="D149" s="27"/>
      <x:c r="E149" s="93"/>
      <x:c r="F149" s="27"/>
      <x:c r="G149" s="27"/>
      <x:c r="H149" s="94"/>
      <x:c r="I149" s="27"/>
    </x:row>
    <x:row r="150">
      <x:c r="A150" s="80"/>
      <x:c r="B150" s="80"/>
      <x:c r="C150" s="80"/>
      <x:c r="D150" s="27"/>
      <x:c r="E150" s="93"/>
      <x:c r="F150" s="27"/>
      <x:c r="G150" s="27"/>
      <x:c r="H150" s="94"/>
      <x:c r="I150" s="27"/>
    </x:row>
    <x:row r="151">
      <x:c r="A151" s="80"/>
      <x:c r="B151" s="80"/>
      <x:c r="C151" s="80"/>
      <x:c r="D151" s="27"/>
      <x:c r="E151" s="93"/>
      <x:c r="F151" s="27"/>
      <x:c r="G151" s="27"/>
      <x:c r="H151" s="94"/>
      <x:c r="I151" s="27"/>
    </x:row>
    <x:row r="152">
      <x:c r="A152" s="80"/>
      <x:c r="B152" s="80"/>
      <x:c r="C152" s="80"/>
      <x:c r="D152" s="27"/>
      <x:c r="E152" s="93"/>
      <x:c r="F152" s="27"/>
      <x:c r="G152" s="27"/>
      <x:c r="H152" s="94"/>
      <x:c r="I152" s="27"/>
    </x:row>
    <x:row r="153">
      <x:c r="A153" s="80"/>
      <x:c r="B153" s="80"/>
      <x:c r="C153" s="80"/>
      <x:c r="D153" s="27"/>
      <x:c r="E153" s="93"/>
      <x:c r="F153" s="27"/>
      <x:c r="G153" s="27"/>
      <x:c r="H153" s="94"/>
      <x:c r="I153" s="27"/>
    </x:row>
    <x:row r="154">
      <x:c r="A154" s="80"/>
      <x:c r="B154" s="80"/>
      <x:c r="C154" s="80"/>
      <x:c r="D154" s="27"/>
      <x:c r="E154" s="93"/>
      <x:c r="F154" s="27"/>
      <x:c r="G154" s="27"/>
      <x:c r="H154" s="94"/>
      <x:c r="I154" s="27"/>
    </x:row>
    <x:row r="155">
      <x:c r="A155" s="80"/>
      <x:c r="B155" s="80"/>
      <x:c r="C155" s="80"/>
      <x:c r="D155" s="27"/>
      <x:c r="E155" s="93"/>
      <x:c r="F155" s="27"/>
      <x:c r="G155" s="27"/>
      <x:c r="H155" s="94"/>
      <x:c r="I155" s="27"/>
    </x:row>
    <x:row r="156">
      <x:c r="A156" s="80"/>
      <x:c r="B156" s="80"/>
      <x:c r="C156" s="80"/>
      <x:c r="D156" s="27"/>
      <x:c r="E156" s="93"/>
      <x:c r="F156" s="27"/>
      <x:c r="G156" s="27"/>
      <x:c r="H156" s="94"/>
      <x:c r="I156" s="27"/>
    </x:row>
    <x:row r="157">
      <x:c r="A157" s="80"/>
      <x:c r="B157" s="80"/>
      <x:c r="C157" s="80"/>
      <x:c r="D157" s="27"/>
      <x:c r="E157" s="93"/>
      <x:c r="F157" s="27"/>
      <x:c r="G157" s="27"/>
      <x:c r="H157" s="94"/>
      <x:c r="I157" s="27"/>
    </x:row>
    <x:row r="158">
      <x:c r="A158" s="80"/>
      <x:c r="B158" s="80"/>
      <x:c r="C158" s="80"/>
      <x:c r="D158" s="27"/>
      <x:c r="E158" s="93"/>
      <x:c r="F158" s="27"/>
      <x:c r="G158" s="27"/>
      <x:c r="H158" s="94"/>
      <x:c r="I158" s="27"/>
    </x:row>
    <x:row r="159">
      <x:c r="A159" s="80"/>
      <x:c r="B159" s="80"/>
      <x:c r="C159" s="80"/>
      <x:c r="D159" s="27"/>
      <x:c r="E159" s="93"/>
      <x:c r="F159" s="27"/>
      <x:c r="G159" s="27"/>
      <x:c r="H159" s="94"/>
      <x:c r="I159" s="27"/>
    </x:row>
    <x:row r="160">
      <x:c r="A160" s="80"/>
      <x:c r="B160" s="80"/>
      <x:c r="C160" s="80"/>
      <x:c r="D160" s="27"/>
      <x:c r="E160" s="93"/>
      <x:c r="F160" s="27"/>
      <x:c r="G160" s="27"/>
      <x:c r="H160" s="94"/>
      <x:c r="I160" s="27"/>
    </x:row>
    <x:row r="161">
      <x:c r="A161" s="80"/>
      <x:c r="B161" s="80"/>
      <x:c r="C161" s="80"/>
      <x:c r="D161" s="27"/>
      <x:c r="E161" s="93"/>
      <x:c r="F161" s="27"/>
      <x:c r="G161" s="27"/>
      <x:c r="H161" s="94"/>
      <x:c r="I161" s="27"/>
    </x:row>
    <x:row r="162">
      <x:c r="A162" s="80"/>
      <x:c r="B162" s="80"/>
      <x:c r="C162" s="80"/>
      <x:c r="D162" s="27"/>
      <x:c r="E162" s="93"/>
      <x:c r="F162" s="27"/>
      <x:c r="G162" s="27"/>
      <x:c r="H162" s="94"/>
      <x:c r="I162" s="27"/>
    </x:row>
    <x:row r="163">
      <x:c r="A163" s="80"/>
      <x:c r="B163" s="80"/>
      <x:c r="C163" s="80"/>
      <x:c r="D163" s="27"/>
      <x:c r="E163" s="93"/>
      <x:c r="F163" s="27"/>
      <x:c r="G163" s="27"/>
      <x:c r="H163" s="94"/>
      <x:c r="I163" s="27"/>
    </x:row>
    <x:row r="164">
      <x:c r="A164" s="80"/>
      <x:c r="B164" s="80"/>
      <x:c r="C164" s="80"/>
      <x:c r="D164" s="27"/>
      <x:c r="E164" s="93"/>
      <x:c r="F164" s="27"/>
      <x:c r="G164" s="27"/>
      <x:c r="H164" s="94"/>
      <x:c r="I164" s="27"/>
    </x:row>
    <x:row r="165">
      <x:c r="A165" s="80"/>
      <x:c r="B165" s="80"/>
      <x:c r="C165" s="80"/>
      <x:c r="D165" s="27"/>
      <x:c r="E165" s="93"/>
      <x:c r="F165" s="27"/>
      <x:c r="G165" s="27"/>
      <x:c r="H165" s="94"/>
      <x:c r="I165" s="27"/>
    </x:row>
    <x:row r="166">
      <x:c r="A166" s="80"/>
      <x:c r="B166" s="80"/>
      <x:c r="C166" s="80"/>
      <x:c r="D166" s="27"/>
      <x:c r="E166" s="93"/>
      <x:c r="F166" s="27"/>
      <x:c r="G166" s="27"/>
      <x:c r="H166" s="94"/>
      <x:c r="I166" s="27"/>
    </x:row>
    <x:row r="167">
      <x:c r="A167" s="80"/>
      <x:c r="B167" s="80"/>
      <x:c r="C167" s="80"/>
      <x:c r="D167" s="27"/>
      <x:c r="E167" s="93"/>
      <x:c r="F167" s="27"/>
      <x:c r="G167" s="27"/>
      <x:c r="H167" s="94"/>
      <x:c r="I167" s="27"/>
    </x:row>
    <x:row r="168">
      <x:c r="A168" s="80"/>
      <x:c r="B168" s="80"/>
      <x:c r="C168" s="80"/>
      <x:c r="D168" s="27"/>
      <x:c r="E168" s="93"/>
      <x:c r="F168" s="27"/>
      <x:c r="G168" s="27"/>
      <x:c r="H168" s="94"/>
      <x:c r="I168" s="27"/>
    </x:row>
    <x:row r="169">
      <x:c r="A169" s="80"/>
      <x:c r="B169" s="80"/>
      <x:c r="C169" s="80"/>
      <x:c r="D169" s="27"/>
      <x:c r="E169" s="93"/>
      <x:c r="F169" s="27"/>
      <x:c r="G169" s="27"/>
      <x:c r="H169" s="94"/>
      <x:c r="I169" s="27"/>
    </x:row>
    <x:row r="170">
      <x:c r="A170" s="80"/>
      <x:c r="B170" s="80"/>
      <x:c r="C170" s="80"/>
      <x:c r="D170" s="27"/>
      <x:c r="E170" s="93"/>
      <x:c r="F170" s="27"/>
      <x:c r="G170" s="27"/>
      <x:c r="H170" s="94"/>
      <x:c r="I170" s="27"/>
    </x:row>
    <x:row r="171">
      <x:c r="A171" s="80"/>
      <x:c r="B171" s="80"/>
      <x:c r="C171" s="80"/>
      <x:c r="D171" s="27"/>
      <x:c r="E171" s="93"/>
      <x:c r="F171" s="27"/>
      <x:c r="G171" s="27"/>
      <x:c r="H171" s="94"/>
      <x:c r="I171" s="27"/>
    </x:row>
    <x:row r="172">
      <x:c r="A172" s="80"/>
      <x:c r="B172" s="80"/>
      <x:c r="C172" s="80"/>
      <x:c r="D172" s="27"/>
      <x:c r="E172" s="93"/>
      <x:c r="F172" s="27"/>
      <x:c r="G172" s="27"/>
      <x:c r="H172" s="94"/>
      <x:c r="I172" s="27"/>
    </x:row>
    <x:row r="173">
      <x:c r="A173" s="80"/>
      <x:c r="B173" s="80"/>
      <x:c r="C173" s="80"/>
      <x:c r="D173" s="27"/>
      <x:c r="E173" s="93"/>
      <x:c r="F173" s="27"/>
      <x:c r="G173" s="27"/>
      <x:c r="H173" s="94"/>
      <x:c r="I173" s="27"/>
    </x:row>
    <x:row r="174">
      <x:c r="A174" s="80"/>
      <x:c r="B174" s="80"/>
      <x:c r="C174" s="80"/>
      <x:c r="D174" s="27"/>
      <x:c r="E174" s="93"/>
      <x:c r="F174" s="27"/>
      <x:c r="G174" s="27"/>
      <x:c r="H174" s="94"/>
      <x:c r="I174" s="27"/>
    </x:row>
    <x:row r="175">
      <x:c r="A175" s="80"/>
      <x:c r="B175" s="80"/>
      <x:c r="C175" s="80"/>
      <x:c r="D175" s="27"/>
      <x:c r="E175" s="93"/>
      <x:c r="F175" s="27"/>
      <x:c r="G175" s="27"/>
      <x:c r="H175" s="94"/>
      <x:c r="I175" s="27"/>
    </x:row>
    <x:row r="176">
      <x:c r="A176" s="80"/>
      <x:c r="B176" s="80"/>
      <x:c r="C176" s="80"/>
      <x:c r="D176" s="27"/>
      <x:c r="E176" s="93"/>
      <x:c r="F176" s="27"/>
      <x:c r="G176" s="27"/>
      <x:c r="H176" s="94"/>
      <x:c r="I176" s="27"/>
    </x:row>
    <x:row r="177">
      <x:c r="A177" s="80"/>
      <x:c r="B177" s="80"/>
      <x:c r="C177" s="80"/>
      <x:c r="D177" s="27"/>
      <x:c r="E177" s="93"/>
      <x:c r="F177" s="27"/>
      <x:c r="G177" s="27"/>
      <x:c r="H177" s="94"/>
      <x:c r="I177" s="27"/>
    </x:row>
    <x:row r="178">
      <x:c r="A178" s="80"/>
      <x:c r="B178" s="80"/>
      <x:c r="C178" s="80"/>
      <x:c r="D178" s="27"/>
      <x:c r="E178" s="93"/>
      <x:c r="F178" s="27"/>
      <x:c r="G178" s="27"/>
      <x:c r="H178" s="94"/>
      <x:c r="I178" s="27"/>
    </x:row>
    <x:row r="179">
      <x:c r="A179" s="80"/>
      <x:c r="B179" s="80"/>
      <x:c r="C179" s="80"/>
      <x:c r="D179" s="27"/>
      <x:c r="E179" s="93"/>
      <x:c r="F179" s="27"/>
      <x:c r="G179" s="27"/>
      <x:c r="H179" s="94"/>
      <x:c r="I179" s="27"/>
    </x:row>
    <x:row r="180">
      <x:c r="A180" s="80"/>
      <x:c r="B180" s="80"/>
      <x:c r="C180" s="80"/>
      <x:c r="D180" s="27"/>
      <x:c r="E180" s="93"/>
      <x:c r="F180" s="27"/>
      <x:c r="G180" s="27"/>
      <x:c r="H180" s="94"/>
      <x:c r="I180" s="27"/>
    </x:row>
    <x:row r="181">
      <x:c r="A181" s="80"/>
      <x:c r="B181" s="80"/>
      <x:c r="C181" s="80"/>
      <x:c r="D181" s="27"/>
      <x:c r="E181" s="93"/>
      <x:c r="F181" s="27"/>
      <x:c r="G181" s="27"/>
      <x:c r="H181" s="94"/>
      <x:c r="I181" s="27"/>
    </x:row>
    <x:row r="182">
      <x:c r="A182" s="80"/>
      <x:c r="B182" s="80"/>
      <x:c r="C182" s="80"/>
      <x:c r="D182" s="27"/>
      <x:c r="E182" s="93"/>
      <x:c r="F182" s="27"/>
      <x:c r="G182" s="27"/>
      <x:c r="H182" s="94"/>
      <x:c r="I182" s="27"/>
    </x:row>
    <x:row r="183">
      <x:c r="A183" s="80"/>
      <x:c r="B183" s="80"/>
      <x:c r="C183" s="80"/>
      <x:c r="D183" s="27"/>
      <x:c r="E183" s="93"/>
      <x:c r="F183" s="27"/>
      <x:c r="G183" s="27"/>
      <x:c r="H183" s="94"/>
      <x:c r="I183" s="27"/>
    </x:row>
    <x:row r="184">
      <x:c r="A184" s="80"/>
      <x:c r="B184" s="80"/>
      <x:c r="C184" s="80"/>
      <x:c r="D184" s="27"/>
      <x:c r="E184" s="93"/>
      <x:c r="F184" s="27"/>
      <x:c r="G184" s="27"/>
      <x:c r="H184" s="94"/>
      <x:c r="I184" s="27"/>
    </x:row>
    <x:row r="185">
      <x:c r="A185" s="80"/>
      <x:c r="B185" s="80"/>
      <x:c r="C185" s="80"/>
      <x:c r="D185" s="27"/>
      <x:c r="E185" s="93"/>
      <x:c r="F185" s="27"/>
      <x:c r="G185" s="27"/>
      <x:c r="H185" s="94"/>
      <x:c r="I185" s="27"/>
    </x:row>
    <x:row r="186">
      <x:c r="A186" s="80"/>
      <x:c r="B186" s="80"/>
      <x:c r="C186" s="80"/>
      <x:c r="D186" s="27"/>
      <x:c r="E186" s="93"/>
      <x:c r="F186" s="27"/>
      <x:c r="G186" s="27"/>
      <x:c r="H186" s="94"/>
      <x:c r="I186" s="27"/>
    </x:row>
    <x:row r="187">
      <x:c r="A187" s="80"/>
      <x:c r="B187" s="80"/>
      <x:c r="C187" s="80"/>
      <x:c r="D187" s="27"/>
      <x:c r="E187" s="93"/>
      <x:c r="F187" s="27"/>
      <x:c r="G187" s="27"/>
      <x:c r="H187" s="94"/>
      <x:c r="I187" s="27"/>
    </x:row>
    <x:row r="188">
      <x:c r="A188" s="80"/>
      <x:c r="B188" s="80"/>
      <x:c r="C188" s="80"/>
      <x:c r="D188" s="27"/>
      <x:c r="E188" s="93"/>
      <x:c r="F188" s="27"/>
      <x:c r="G188" s="27"/>
      <x:c r="H188" s="94"/>
      <x:c r="I188" s="27"/>
    </x:row>
    <x:row r="189">
      <x:c r="A189" s="80"/>
      <x:c r="B189" s="80"/>
      <x:c r="C189" s="80"/>
      <x:c r="D189" s="27"/>
      <x:c r="E189" s="93"/>
      <x:c r="F189" s="27"/>
      <x:c r="G189" s="27"/>
      <x:c r="H189" s="94"/>
      <x:c r="I189" s="27"/>
    </x:row>
    <x:row r="190">
      <x:c r="A190" s="80"/>
      <x:c r="B190" s="80"/>
      <x:c r="C190" s="80"/>
      <x:c r="D190" s="27"/>
      <x:c r="E190" s="93"/>
      <x:c r="F190" s="27"/>
      <x:c r="G190" s="27"/>
      <x:c r="H190" s="94"/>
      <x:c r="I190" s="27"/>
    </x:row>
    <x:row r="191">
      <x:c r="A191" s="80"/>
      <x:c r="B191" s="80"/>
      <x:c r="C191" s="80"/>
      <x:c r="D191" s="27"/>
      <x:c r="E191" s="93"/>
      <x:c r="F191" s="27"/>
      <x:c r="G191" s="27"/>
      <x:c r="H191" s="94"/>
      <x:c r="I191" s="27"/>
    </x:row>
    <x:row r="192">
      <x:c r="A192" s="80"/>
      <x:c r="B192" s="80"/>
      <x:c r="C192" s="80"/>
      <x:c r="D192" s="27"/>
      <x:c r="E192" s="93"/>
      <x:c r="F192" s="27"/>
      <x:c r="G192" s="27"/>
      <x:c r="H192" s="94"/>
      <x:c r="I192" s="27"/>
    </x:row>
    <x:row r="193">
      <x:c r="A193" s="80"/>
      <x:c r="B193" s="80"/>
      <x:c r="C193" s="80"/>
      <x:c r="D193" s="27"/>
      <x:c r="E193" s="93"/>
      <x:c r="F193" s="27"/>
      <x:c r="G193" s="27"/>
      <x:c r="H193" s="94"/>
      <x:c r="I193" s="27"/>
    </x:row>
    <x:row r="194">
      <x:c r="A194" s="80"/>
      <x:c r="B194" s="80"/>
      <x:c r="C194" s="80"/>
      <x:c r="D194" s="27"/>
      <x:c r="E194" s="93"/>
      <x:c r="F194" s="27"/>
      <x:c r="G194" s="27"/>
      <x:c r="H194" s="94"/>
      <x:c r="I194" s="27"/>
    </x:row>
    <x:row r="195">
      <x:c r="A195" s="80"/>
      <x:c r="B195" s="80"/>
      <x:c r="C195" s="80"/>
      <x:c r="D195" s="27"/>
      <x:c r="E195" s="93"/>
      <x:c r="F195" s="27"/>
      <x:c r="G195" s="27"/>
      <x:c r="H195" s="94"/>
      <x:c r="I195" s="27"/>
    </x:row>
    <x:row r="196">
      <x:c r="A196" s="80"/>
      <x:c r="B196" s="80"/>
      <x:c r="C196" s="80"/>
      <x:c r="D196" s="27"/>
      <x:c r="E196" s="93"/>
      <x:c r="F196" s="27"/>
      <x:c r="G196" s="27"/>
      <x:c r="H196" s="94"/>
      <x:c r="I196" s="27"/>
    </x:row>
    <x:row r="197">
      <x:c r="A197" s="80"/>
      <x:c r="B197" s="80"/>
      <x:c r="C197" s="80"/>
      <x:c r="D197" s="27"/>
      <x:c r="E197" s="93"/>
      <x:c r="F197" s="27"/>
      <x:c r="G197" s="27"/>
      <x:c r="H197" s="94"/>
      <x:c r="I197" s="27"/>
    </x:row>
    <x:row r="198">
      <x:c r="A198" s="80"/>
      <x:c r="B198" s="80"/>
      <x:c r="C198" s="80"/>
      <x:c r="D198" s="27"/>
      <x:c r="E198" s="93"/>
      <x:c r="F198" s="27"/>
      <x:c r="G198" s="27"/>
      <x:c r="H198" s="94"/>
      <x:c r="I198" s="27"/>
    </x:row>
    <x:row r="199">
      <x:c r="A199" s="80"/>
      <x:c r="B199" s="80"/>
      <x:c r="C199" s="80"/>
      <x:c r="D199" s="27"/>
      <x:c r="E199" s="93"/>
      <x:c r="F199" s="27"/>
      <x:c r="G199" s="27"/>
      <x:c r="H199" s="94"/>
      <x:c r="I199" s="27"/>
    </x:row>
    <x:row r="200">
      <x:c r="A200" s="80"/>
      <x:c r="B200" s="80"/>
      <x:c r="C200" s="80"/>
      <x:c r="D200" s="27"/>
      <x:c r="E200" s="93"/>
      <x:c r="F200" s="27"/>
      <x:c r="G200" s="27"/>
      <x:c r="H200" s="94"/>
      <x:c r="I200" s="27"/>
    </x:row>
    <x:row r="201">
      <x:c r="A201" s="80"/>
      <x:c r="B201" s="80"/>
      <x:c r="C201" s="80"/>
      <x:c r="D201" s="27"/>
      <x:c r="E201" s="93"/>
      <x:c r="F201" s="27"/>
      <x:c r="G201" s="27"/>
      <x:c r="H201" s="94"/>
      <x:c r="I201" s="27"/>
    </x:row>
    <x:row r="202">
      <x:c r="A202" s="80"/>
      <x:c r="B202" s="80"/>
      <x:c r="C202" s="80"/>
      <x:c r="D202" s="27"/>
      <x:c r="E202" s="93"/>
      <x:c r="F202" s="27"/>
      <x:c r="G202" s="27"/>
      <x:c r="H202" s="94"/>
      <x:c r="I202" s="27"/>
    </x:row>
    <x:row r="203">
      <x:c r="A203" s="80"/>
      <x:c r="B203" s="80"/>
      <x:c r="C203" s="80"/>
      <x:c r="D203" s="27"/>
      <x:c r="E203" s="93"/>
      <x:c r="F203" s="27"/>
      <x:c r="G203" s="27"/>
      <x:c r="H203" s="94"/>
      <x:c r="I203" s="27"/>
    </x:row>
    <x:row r="204">
      <x:c r="A204" s="80"/>
      <x:c r="B204" s="80"/>
      <x:c r="C204" s="80"/>
      <x:c r="D204" s="27"/>
      <x:c r="E204" s="93"/>
      <x:c r="F204" s="27"/>
      <x:c r="G204" s="27"/>
      <x:c r="H204" s="94"/>
      <x:c r="I204" s="27"/>
    </x:row>
  </x:sheetData>
  <x:mergeCells>
    <x:mergeCell ref="A1:I1"/>
    <x:mergeCell ref="A2:I2"/>
  </x:mergeCells>
  <x:dataValidations count="3">
    <x:dataValidation type="list" sqref="F5:F204">
      <x:formula1>'Code Lists'!$H$5:$H$8</x:formula1>
    </x:dataValidation>
    <x:dataValidation type="list" sqref="D5:D204">
      <x:formula1>'Code Lists'!$F$5:$F$8</x:formula1>
    </x:dataValidation>
    <x:dataValidation type="list" sqref="E5:E204">
      <x:formula1>'Code Lists'!$G$5:$G$9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2caca5d54e4d8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  <x:selection pane="topRight" activeCell="C1" sqref="C1"/>
      <x:selection pane="bottomLeft" activeCell="A5" sqref="A5"/>
      <x:selection pane="bottomRight" activeCell="C5" sqref="C5"/>
    </x:sheetView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9" hidden="0" customWidth="1"/>
    <x:col min="5" max="5" width="18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22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8" hidden="0" customWidth="1"/>
    <x:col min="27" max="27" width="18" hidden="0" customWidth="1"/>
    <x:col min="28" max="28" width="18" hidden="0" customWidth="1"/>
    <x:col min="29" max="29" width="15" hidden="0" customWidth="1"/>
    <x:col min="30" max="30" width="19" hidden="0" customWidth="1"/>
    <x:col min="31" max="31" width="19" hidden="0" customWidth="1"/>
    <x:col min="32" max="32" width="19" hidden="0" customWidth="1"/>
    <x:col min="33" max="33" width="15" hidden="0" customWidth="1"/>
  </x:cols>
  <x:sheetData>
    <x:row r="1" ht="30" customHeight="1">
      <x:c r="A1" s="3" t="str">
        <x:v>Session Training Data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2" customHeight="1">
      <x:c r="A2" s="7" t="str">
        <x:v>REAL OUTPUT - trainer-approved de-identified session schema. Real rows must use is_dummy_data=0.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46" customHeight="1">
      <x:c r="A4" s="67" t="str">
        <x:v>session_id</x:v>
      </x:c>
      <x:c r="B4" s="71" t="str">
        <x:v>grade</x:v>
      </x:c>
      <x:c r="C4" s="71" t="str">
        <x:v>mode</x:v>
      </x:c>
      <x:c r="D4" s="67" t="str">
        <x:v>activity_id</x:v>
      </x:c>
      <x:c r="E4" s="71" t="str">
        <x:v>status</x:v>
      </x:c>
      <x:c r="F4" s="87" t="str">
        <x:v>total_attempts</x:v>
      </x:c>
      <x:c r="G4" s="87" t="str">
        <x:v>valid_attempts</x:v>
      </x:c>
      <x:c r="H4" s="87" t="str">
        <x:v>invalid_attempts</x:v>
      </x:c>
      <x:c r="I4" s="87" t="str">
        <x:v>retry_rate</x:v>
      </x:c>
      <x:c r="J4" s="87" t="str">
        <x:v>word_accuracy</x:v>
      </x:c>
      <x:c r="K4" s="87" t="str">
        <x:v>pseudoword_accuracy</x:v>
      </x:c>
      <x:c r="L4" s="87" t="str">
        <x:v>sentence_accuracy</x:v>
      </x:c>
      <x:c r="M4" s="87" t="str">
        <x:v>mean_character_error_rate</x:v>
      </x:c>
      <x:c r="N4" s="87" t="str">
        <x:v>mean_word_error_rate</x:v>
      </x:c>
      <x:c r="O4" s="87" t="str">
        <x:v>mean_partial_match_score</x:v>
      </x:c>
      <x:c r="P4" s="87" t="str">
        <x:v>mean_phoneme_error_rate</x:v>
      </x:c>
      <x:c r="Q4" s="87" t="str">
        <x:v>initial_sound_error_rate</x:v>
      </x:c>
      <x:c r="R4" s="87" t="str">
        <x:v>final_sound_error_rate</x:v>
      </x:c>
      <x:c r="S4" s="87" t="str">
        <x:v>vowel_mismatch_rate</x:v>
      </x:c>
      <x:c r="T4" s="87" t="str">
        <x:v>consonant_cluster_error_rate</x:v>
      </x:c>
      <x:c r="U4" s="87" t="str">
        <x:v>common_phoneme_error_pattern</x:v>
      </x:c>
      <x:c r="V4" s="87" t="str">
        <x:v>mean_speech_duration_sec</x:v>
      </x:c>
      <x:c r="W4" s="87" t="str">
        <x:v>mean_pause_count</x:v>
      </x:c>
      <x:c r="X4" s="87" t="str">
        <x:v>mean_audio_quality_score</x:v>
      </x:c>
      <x:c r="Y4" s="87" t="str">
        <x:v>mean_pronunciation_model_score</x:v>
      </x:c>
      <x:c r="Z4" s="87" t="str">
        <x:v>labelled_attempt_count</x:v>
      </x:c>
      <x:c r="AA4" s="79" t="str">
        <x:v>speech_support_label</x:v>
      </x:c>
      <x:c r="AB4" s="79" t="str">
        <x:v>label_confidence</x:v>
      </x:c>
      <x:c r="AC4" s="75" t="str">
        <x:v>dataset_ready</x:v>
      </x:c>
      <x:c r="AD4" s="75" t="str">
        <x:v>created_at</x:v>
      </x:c>
      <x:c r="AE4" s="75" t="str">
        <x:v>completed_at</x:v>
      </x:c>
      <x:c r="AF4" s="67" t="str">
        <x:v>participant_code</x:v>
      </x:c>
      <x:c r="AG4" s="75" t="str">
        <x:v>is_dummy_data</x:v>
      </x:c>
    </x:row>
    <x:row r="5">
      <x:c r="A5" s="80"/>
      <x:c r="B5" s="25"/>
      <x:c r="C5" s="25"/>
      <x:c r="D5" s="80"/>
      <x:c r="E5" s="25"/>
      <x:c r="F5" s="89"/>
      <x:c r="G5" s="89"/>
      <x:c r="H5" s="89"/>
      <x:c r="I5" s="91"/>
      <x:c r="J5" s="91"/>
      <x:c r="K5" s="91"/>
      <x:c r="L5" s="91"/>
      <x:c r="M5" s="91"/>
      <x:c r="N5" s="91"/>
      <x:c r="O5" s="91"/>
      <x:c r="P5" s="91"/>
      <x:c r="Q5" s="91"/>
      <x:c r="R5" s="91"/>
      <x:c r="S5" s="91"/>
      <x:c r="T5" s="91"/>
      <x:c r="U5" s="26"/>
      <x:c r="V5" s="90"/>
      <x:c r="W5" s="89"/>
      <x:c r="X5" s="91"/>
      <x:c r="Y5" s="91"/>
      <x:c r="Z5" s="89"/>
      <x:c r="AA5" s="27"/>
      <x:c r="AB5" s="93"/>
      <x:c r="AC5" s="83"/>
      <x:c r="AD5" s="82"/>
      <x:c r="AE5" s="82"/>
      <x:c r="AF5" s="80"/>
      <x:c r="AG5" s="83"/>
    </x:row>
    <x:row r="6">
      <x:c r="A6" s="80"/>
      <x:c r="B6" s="25"/>
      <x:c r="C6" s="25"/>
      <x:c r="D6" s="80"/>
      <x:c r="E6" s="25"/>
      <x:c r="F6" s="89"/>
      <x:c r="G6" s="89"/>
      <x:c r="H6" s="89"/>
      <x:c r="I6" s="91"/>
      <x:c r="J6" s="91"/>
      <x:c r="K6" s="91"/>
      <x:c r="L6" s="91"/>
      <x:c r="M6" s="91"/>
      <x:c r="N6" s="91"/>
      <x:c r="O6" s="91"/>
      <x:c r="P6" s="91"/>
      <x:c r="Q6" s="91"/>
      <x:c r="R6" s="91"/>
      <x:c r="S6" s="91"/>
      <x:c r="T6" s="91"/>
      <x:c r="U6" s="26"/>
      <x:c r="V6" s="90"/>
      <x:c r="W6" s="89"/>
      <x:c r="X6" s="91"/>
      <x:c r="Y6" s="91"/>
      <x:c r="Z6" s="89"/>
      <x:c r="AA6" s="27"/>
      <x:c r="AB6" s="93"/>
      <x:c r="AC6" s="83"/>
      <x:c r="AD6" s="82"/>
      <x:c r="AE6" s="82"/>
      <x:c r="AF6" s="80"/>
      <x:c r="AG6" s="83"/>
    </x:row>
    <x:row r="7">
      <x:c r="A7" s="80"/>
      <x:c r="B7" s="25"/>
      <x:c r="C7" s="25"/>
      <x:c r="D7" s="80"/>
      <x:c r="E7" s="25"/>
      <x:c r="F7" s="89"/>
      <x:c r="G7" s="89"/>
      <x:c r="H7" s="89"/>
      <x:c r="I7" s="91"/>
      <x:c r="J7" s="91"/>
      <x:c r="K7" s="91"/>
      <x:c r="L7" s="91"/>
      <x:c r="M7" s="91"/>
      <x:c r="N7" s="91"/>
      <x:c r="O7" s="91"/>
      <x:c r="P7" s="91"/>
      <x:c r="Q7" s="91"/>
      <x:c r="R7" s="91"/>
      <x:c r="S7" s="91"/>
      <x:c r="T7" s="91"/>
      <x:c r="U7" s="26"/>
      <x:c r="V7" s="90"/>
      <x:c r="W7" s="89"/>
      <x:c r="X7" s="91"/>
      <x:c r="Y7" s="91"/>
      <x:c r="Z7" s="89"/>
      <x:c r="AA7" s="27"/>
      <x:c r="AB7" s="93"/>
      <x:c r="AC7" s="83"/>
      <x:c r="AD7" s="82"/>
      <x:c r="AE7" s="82"/>
      <x:c r="AF7" s="80"/>
      <x:c r="AG7" s="83"/>
    </x:row>
    <x:row r="8">
      <x:c r="A8" s="80"/>
      <x:c r="B8" s="25"/>
      <x:c r="C8" s="25"/>
      <x:c r="D8" s="80"/>
      <x:c r="E8" s="25"/>
      <x:c r="F8" s="89"/>
      <x:c r="G8" s="89"/>
      <x:c r="H8" s="89"/>
      <x:c r="I8" s="91"/>
      <x:c r="J8" s="91"/>
      <x:c r="K8" s="91"/>
      <x:c r="L8" s="91"/>
      <x:c r="M8" s="91"/>
      <x:c r="N8" s="91"/>
      <x:c r="O8" s="91"/>
      <x:c r="P8" s="91"/>
      <x:c r="Q8" s="91"/>
      <x:c r="R8" s="91"/>
      <x:c r="S8" s="91"/>
      <x:c r="T8" s="91"/>
      <x:c r="U8" s="26"/>
      <x:c r="V8" s="90"/>
      <x:c r="W8" s="89"/>
      <x:c r="X8" s="91"/>
      <x:c r="Y8" s="91"/>
      <x:c r="Z8" s="89"/>
      <x:c r="AA8" s="27"/>
      <x:c r="AB8" s="93"/>
      <x:c r="AC8" s="83"/>
      <x:c r="AD8" s="82"/>
      <x:c r="AE8" s="82"/>
      <x:c r="AF8" s="80"/>
      <x:c r="AG8" s="83"/>
    </x:row>
    <x:row r="9">
      <x:c r="A9" s="80"/>
      <x:c r="B9" s="25"/>
      <x:c r="C9" s="25"/>
      <x:c r="D9" s="80"/>
      <x:c r="E9" s="25"/>
      <x:c r="F9" s="89"/>
      <x:c r="G9" s="89"/>
      <x:c r="H9" s="89"/>
      <x:c r="I9" s="91"/>
      <x:c r="J9" s="91"/>
      <x:c r="K9" s="91"/>
      <x:c r="L9" s="91"/>
      <x:c r="M9" s="91"/>
      <x:c r="N9" s="91"/>
      <x:c r="O9" s="91"/>
      <x:c r="P9" s="91"/>
      <x:c r="Q9" s="91"/>
      <x:c r="R9" s="91"/>
      <x:c r="S9" s="91"/>
      <x:c r="T9" s="91"/>
      <x:c r="U9" s="26"/>
      <x:c r="V9" s="90"/>
      <x:c r="W9" s="89"/>
      <x:c r="X9" s="91"/>
      <x:c r="Y9" s="91"/>
      <x:c r="Z9" s="89"/>
      <x:c r="AA9" s="27"/>
      <x:c r="AB9" s="93"/>
      <x:c r="AC9" s="83"/>
      <x:c r="AD9" s="82"/>
      <x:c r="AE9" s="82"/>
      <x:c r="AF9" s="80"/>
      <x:c r="AG9" s="83"/>
    </x:row>
    <x:row r="10">
      <x:c r="A10" s="80"/>
      <x:c r="B10" s="25"/>
      <x:c r="C10" s="25"/>
      <x:c r="D10" s="80"/>
      <x:c r="E10" s="25"/>
      <x:c r="F10" s="89"/>
      <x:c r="G10" s="89"/>
      <x:c r="H10" s="89"/>
      <x:c r="I10" s="91"/>
      <x:c r="J10" s="91"/>
      <x:c r="K10" s="91"/>
      <x:c r="L10" s="91"/>
      <x:c r="M10" s="91"/>
      <x:c r="N10" s="91"/>
      <x:c r="O10" s="91"/>
      <x:c r="P10" s="91"/>
      <x:c r="Q10" s="91"/>
      <x:c r="R10" s="91"/>
      <x:c r="S10" s="91"/>
      <x:c r="T10" s="91"/>
      <x:c r="U10" s="26"/>
      <x:c r="V10" s="90"/>
      <x:c r="W10" s="89"/>
      <x:c r="X10" s="91"/>
      <x:c r="Y10" s="91"/>
      <x:c r="Z10" s="89"/>
      <x:c r="AA10" s="27"/>
      <x:c r="AB10" s="93"/>
      <x:c r="AC10" s="83"/>
      <x:c r="AD10" s="82"/>
      <x:c r="AE10" s="82"/>
      <x:c r="AF10" s="80"/>
      <x:c r="AG10" s="83"/>
    </x:row>
    <x:row r="11">
      <x:c r="A11" s="80"/>
      <x:c r="B11" s="25"/>
      <x:c r="C11" s="25"/>
      <x:c r="D11" s="80"/>
      <x:c r="E11" s="25"/>
      <x:c r="F11" s="89"/>
      <x:c r="G11" s="89"/>
      <x:c r="H11" s="89"/>
      <x:c r="I11" s="91"/>
      <x:c r="J11" s="91"/>
      <x:c r="K11" s="91"/>
      <x:c r="L11" s="91"/>
      <x:c r="M11" s="91"/>
      <x:c r="N11" s="91"/>
      <x:c r="O11" s="91"/>
      <x:c r="P11" s="91"/>
      <x:c r="Q11" s="91"/>
      <x:c r="R11" s="91"/>
      <x:c r="S11" s="91"/>
      <x:c r="T11" s="91"/>
      <x:c r="U11" s="26"/>
      <x:c r="V11" s="90"/>
      <x:c r="W11" s="89"/>
      <x:c r="X11" s="91"/>
      <x:c r="Y11" s="91"/>
      <x:c r="Z11" s="89"/>
      <x:c r="AA11" s="27"/>
      <x:c r="AB11" s="93"/>
      <x:c r="AC11" s="83"/>
      <x:c r="AD11" s="82"/>
      <x:c r="AE11" s="82"/>
      <x:c r="AF11" s="80"/>
      <x:c r="AG11" s="83"/>
    </x:row>
    <x:row r="12">
      <x:c r="A12" s="80"/>
      <x:c r="B12" s="25"/>
      <x:c r="C12" s="25"/>
      <x:c r="D12" s="80"/>
      <x:c r="E12" s="25"/>
      <x:c r="F12" s="89"/>
      <x:c r="G12" s="89"/>
      <x:c r="H12" s="89"/>
      <x:c r="I12" s="91"/>
      <x:c r="J12" s="91"/>
      <x:c r="K12" s="91"/>
      <x:c r="L12" s="91"/>
      <x:c r="M12" s="91"/>
      <x:c r="N12" s="91"/>
      <x:c r="O12" s="91"/>
      <x:c r="P12" s="91"/>
      <x:c r="Q12" s="91"/>
      <x:c r="R12" s="91"/>
      <x:c r="S12" s="91"/>
      <x:c r="T12" s="91"/>
      <x:c r="U12" s="26"/>
      <x:c r="V12" s="90"/>
      <x:c r="W12" s="89"/>
      <x:c r="X12" s="91"/>
      <x:c r="Y12" s="91"/>
      <x:c r="Z12" s="89"/>
      <x:c r="AA12" s="27"/>
      <x:c r="AB12" s="93"/>
      <x:c r="AC12" s="83"/>
      <x:c r="AD12" s="82"/>
      <x:c r="AE12" s="82"/>
      <x:c r="AF12" s="80"/>
      <x:c r="AG12" s="83"/>
    </x:row>
    <x:row r="13">
      <x:c r="A13" s="80"/>
      <x:c r="B13" s="25"/>
      <x:c r="C13" s="25"/>
      <x:c r="D13" s="80"/>
      <x:c r="E13" s="25"/>
      <x:c r="F13" s="89"/>
      <x:c r="G13" s="89"/>
      <x:c r="H13" s="89"/>
      <x:c r="I13" s="91"/>
      <x:c r="J13" s="91"/>
      <x:c r="K13" s="91"/>
      <x:c r="L13" s="91"/>
      <x:c r="M13" s="91"/>
      <x:c r="N13" s="91"/>
      <x:c r="O13" s="91"/>
      <x:c r="P13" s="91"/>
      <x:c r="Q13" s="91"/>
      <x:c r="R13" s="91"/>
      <x:c r="S13" s="91"/>
      <x:c r="T13" s="91"/>
      <x:c r="U13" s="26"/>
      <x:c r="V13" s="90"/>
      <x:c r="W13" s="89"/>
      <x:c r="X13" s="91"/>
      <x:c r="Y13" s="91"/>
      <x:c r="Z13" s="89"/>
      <x:c r="AA13" s="27"/>
      <x:c r="AB13" s="93"/>
      <x:c r="AC13" s="83"/>
      <x:c r="AD13" s="82"/>
      <x:c r="AE13" s="82"/>
      <x:c r="AF13" s="80"/>
      <x:c r="AG13" s="83"/>
    </x:row>
    <x:row r="14">
      <x:c r="A14" s="80"/>
      <x:c r="B14" s="25"/>
      <x:c r="C14" s="25"/>
      <x:c r="D14" s="80"/>
      <x:c r="E14" s="25"/>
      <x:c r="F14" s="89"/>
      <x:c r="G14" s="89"/>
      <x:c r="H14" s="89"/>
      <x:c r="I14" s="91"/>
      <x:c r="J14" s="91"/>
      <x:c r="K14" s="91"/>
      <x:c r="L14" s="91"/>
      <x:c r="M14" s="91"/>
      <x:c r="N14" s="91"/>
      <x:c r="O14" s="91"/>
      <x:c r="P14" s="91"/>
      <x:c r="Q14" s="91"/>
      <x:c r="R14" s="91"/>
      <x:c r="S14" s="91"/>
      <x:c r="T14" s="91"/>
      <x:c r="U14" s="26"/>
      <x:c r="V14" s="90"/>
      <x:c r="W14" s="89"/>
      <x:c r="X14" s="91"/>
      <x:c r="Y14" s="91"/>
      <x:c r="Z14" s="89"/>
      <x:c r="AA14" s="27"/>
      <x:c r="AB14" s="93"/>
      <x:c r="AC14" s="83"/>
      <x:c r="AD14" s="82"/>
      <x:c r="AE14" s="82"/>
      <x:c r="AF14" s="80"/>
      <x:c r="AG14" s="83"/>
    </x:row>
    <x:row r="15">
      <x:c r="A15" s="80"/>
      <x:c r="B15" s="25"/>
      <x:c r="C15" s="25"/>
      <x:c r="D15" s="80"/>
      <x:c r="E15" s="25"/>
      <x:c r="F15" s="89"/>
      <x:c r="G15" s="89"/>
      <x:c r="H15" s="89"/>
      <x:c r="I15" s="91"/>
      <x:c r="J15" s="91"/>
      <x:c r="K15" s="91"/>
      <x:c r="L15" s="91"/>
      <x:c r="M15" s="91"/>
      <x:c r="N15" s="91"/>
      <x:c r="O15" s="91"/>
      <x:c r="P15" s="91"/>
      <x:c r="Q15" s="91"/>
      <x:c r="R15" s="91"/>
      <x:c r="S15" s="91"/>
      <x:c r="T15" s="91"/>
      <x:c r="U15" s="26"/>
      <x:c r="V15" s="90"/>
      <x:c r="W15" s="89"/>
      <x:c r="X15" s="91"/>
      <x:c r="Y15" s="91"/>
      <x:c r="Z15" s="89"/>
      <x:c r="AA15" s="27"/>
      <x:c r="AB15" s="93"/>
      <x:c r="AC15" s="83"/>
      <x:c r="AD15" s="82"/>
      <x:c r="AE15" s="82"/>
      <x:c r="AF15" s="80"/>
      <x:c r="AG15" s="83"/>
    </x:row>
    <x:row r="16">
      <x:c r="A16" s="80"/>
      <x:c r="B16" s="25"/>
      <x:c r="C16" s="25"/>
      <x:c r="D16" s="80"/>
      <x:c r="E16" s="25"/>
      <x:c r="F16" s="89"/>
      <x:c r="G16" s="89"/>
      <x:c r="H16" s="89"/>
      <x:c r="I16" s="91"/>
      <x:c r="J16" s="91"/>
      <x:c r="K16" s="91"/>
      <x:c r="L16" s="91"/>
      <x:c r="M16" s="91"/>
      <x:c r="N16" s="91"/>
      <x:c r="O16" s="91"/>
      <x:c r="P16" s="91"/>
      <x:c r="Q16" s="91"/>
      <x:c r="R16" s="91"/>
      <x:c r="S16" s="91"/>
      <x:c r="T16" s="91"/>
      <x:c r="U16" s="26"/>
      <x:c r="V16" s="90"/>
      <x:c r="W16" s="89"/>
      <x:c r="X16" s="91"/>
      <x:c r="Y16" s="91"/>
      <x:c r="Z16" s="89"/>
      <x:c r="AA16" s="27"/>
      <x:c r="AB16" s="93"/>
      <x:c r="AC16" s="83"/>
      <x:c r="AD16" s="82"/>
      <x:c r="AE16" s="82"/>
      <x:c r="AF16" s="80"/>
      <x:c r="AG16" s="83"/>
    </x:row>
    <x:row r="17">
      <x:c r="A17" s="80"/>
      <x:c r="B17" s="25"/>
      <x:c r="C17" s="25"/>
      <x:c r="D17" s="80"/>
      <x:c r="E17" s="25"/>
      <x:c r="F17" s="89"/>
      <x:c r="G17" s="89"/>
      <x:c r="H17" s="89"/>
      <x:c r="I17" s="91"/>
      <x:c r="J17" s="91"/>
      <x:c r="K17" s="91"/>
      <x:c r="L17" s="91"/>
      <x:c r="M17" s="91"/>
      <x:c r="N17" s="91"/>
      <x:c r="O17" s="91"/>
      <x:c r="P17" s="91"/>
      <x:c r="Q17" s="91"/>
      <x:c r="R17" s="91"/>
      <x:c r="S17" s="91"/>
      <x:c r="T17" s="91"/>
      <x:c r="U17" s="26"/>
      <x:c r="V17" s="90"/>
      <x:c r="W17" s="89"/>
      <x:c r="X17" s="91"/>
      <x:c r="Y17" s="91"/>
      <x:c r="Z17" s="89"/>
      <x:c r="AA17" s="27"/>
      <x:c r="AB17" s="93"/>
      <x:c r="AC17" s="83"/>
      <x:c r="AD17" s="82"/>
      <x:c r="AE17" s="82"/>
      <x:c r="AF17" s="80"/>
      <x:c r="AG17" s="83"/>
    </x:row>
    <x:row r="18">
      <x:c r="A18" s="80"/>
      <x:c r="B18" s="25"/>
      <x:c r="C18" s="25"/>
      <x:c r="D18" s="80"/>
      <x:c r="E18" s="25"/>
      <x:c r="F18" s="89"/>
      <x:c r="G18" s="89"/>
      <x:c r="H18" s="89"/>
      <x:c r="I18" s="91"/>
      <x:c r="J18" s="91"/>
      <x:c r="K18" s="91"/>
      <x:c r="L18" s="91"/>
      <x:c r="M18" s="91"/>
      <x:c r="N18" s="91"/>
      <x:c r="O18" s="91"/>
      <x:c r="P18" s="91"/>
      <x:c r="Q18" s="91"/>
      <x:c r="R18" s="91"/>
      <x:c r="S18" s="91"/>
      <x:c r="T18" s="91"/>
      <x:c r="U18" s="26"/>
      <x:c r="V18" s="90"/>
      <x:c r="W18" s="89"/>
      <x:c r="X18" s="91"/>
      <x:c r="Y18" s="91"/>
      <x:c r="Z18" s="89"/>
      <x:c r="AA18" s="27"/>
      <x:c r="AB18" s="93"/>
      <x:c r="AC18" s="83"/>
      <x:c r="AD18" s="82"/>
      <x:c r="AE18" s="82"/>
      <x:c r="AF18" s="80"/>
      <x:c r="AG18" s="83"/>
    </x:row>
    <x:row r="19">
      <x:c r="A19" s="80"/>
      <x:c r="B19" s="25"/>
      <x:c r="C19" s="25"/>
      <x:c r="D19" s="80"/>
      <x:c r="E19" s="25"/>
      <x:c r="F19" s="89"/>
      <x:c r="G19" s="89"/>
      <x:c r="H19" s="89"/>
      <x:c r="I19" s="91"/>
      <x:c r="J19" s="91"/>
      <x:c r="K19" s="91"/>
      <x:c r="L19" s="91"/>
      <x:c r="M19" s="91"/>
      <x:c r="N19" s="91"/>
      <x:c r="O19" s="91"/>
      <x:c r="P19" s="91"/>
      <x:c r="Q19" s="91"/>
      <x:c r="R19" s="91"/>
      <x:c r="S19" s="91"/>
      <x:c r="T19" s="91"/>
      <x:c r="U19" s="26"/>
      <x:c r="V19" s="90"/>
      <x:c r="W19" s="89"/>
      <x:c r="X19" s="91"/>
      <x:c r="Y19" s="91"/>
      <x:c r="Z19" s="89"/>
      <x:c r="AA19" s="27"/>
      <x:c r="AB19" s="93"/>
      <x:c r="AC19" s="83"/>
      <x:c r="AD19" s="82"/>
      <x:c r="AE19" s="82"/>
      <x:c r="AF19" s="80"/>
      <x:c r="AG19" s="83"/>
    </x:row>
    <x:row r="20">
      <x:c r="A20" s="80"/>
      <x:c r="B20" s="25"/>
      <x:c r="C20" s="25"/>
      <x:c r="D20" s="80"/>
      <x:c r="E20" s="25"/>
      <x:c r="F20" s="89"/>
      <x:c r="G20" s="89"/>
      <x:c r="H20" s="89"/>
      <x:c r="I20" s="91"/>
      <x:c r="J20" s="91"/>
      <x:c r="K20" s="91"/>
      <x:c r="L20" s="91"/>
      <x:c r="M20" s="91"/>
      <x:c r="N20" s="91"/>
      <x:c r="O20" s="91"/>
      <x:c r="P20" s="91"/>
      <x:c r="Q20" s="91"/>
      <x:c r="R20" s="91"/>
      <x:c r="S20" s="91"/>
      <x:c r="T20" s="91"/>
      <x:c r="U20" s="26"/>
      <x:c r="V20" s="90"/>
      <x:c r="W20" s="89"/>
      <x:c r="X20" s="91"/>
      <x:c r="Y20" s="91"/>
      <x:c r="Z20" s="89"/>
      <x:c r="AA20" s="27"/>
      <x:c r="AB20" s="93"/>
      <x:c r="AC20" s="83"/>
      <x:c r="AD20" s="82"/>
      <x:c r="AE20" s="82"/>
      <x:c r="AF20" s="80"/>
      <x:c r="AG20" s="83"/>
    </x:row>
    <x:row r="21">
      <x:c r="A21" s="80"/>
      <x:c r="B21" s="25"/>
      <x:c r="C21" s="25"/>
      <x:c r="D21" s="80"/>
      <x:c r="E21" s="25"/>
      <x:c r="F21" s="89"/>
      <x:c r="G21" s="89"/>
      <x:c r="H21" s="89"/>
      <x:c r="I21" s="91"/>
      <x:c r="J21" s="91"/>
      <x:c r="K21" s="91"/>
      <x:c r="L21" s="91"/>
      <x:c r="M21" s="91"/>
      <x:c r="N21" s="91"/>
      <x:c r="O21" s="91"/>
      <x:c r="P21" s="91"/>
      <x:c r="Q21" s="91"/>
      <x:c r="R21" s="91"/>
      <x:c r="S21" s="91"/>
      <x:c r="T21" s="91"/>
      <x:c r="U21" s="26"/>
      <x:c r="V21" s="90"/>
      <x:c r="W21" s="89"/>
      <x:c r="X21" s="91"/>
      <x:c r="Y21" s="91"/>
      <x:c r="Z21" s="89"/>
      <x:c r="AA21" s="27"/>
      <x:c r="AB21" s="93"/>
      <x:c r="AC21" s="83"/>
      <x:c r="AD21" s="82"/>
      <x:c r="AE21" s="82"/>
      <x:c r="AF21" s="80"/>
      <x:c r="AG21" s="83"/>
    </x:row>
    <x:row r="22">
      <x:c r="A22" s="80"/>
      <x:c r="B22" s="25"/>
      <x:c r="C22" s="25"/>
      <x:c r="D22" s="80"/>
      <x:c r="E22" s="25"/>
      <x:c r="F22" s="89"/>
      <x:c r="G22" s="89"/>
      <x:c r="H22" s="89"/>
      <x:c r="I22" s="91"/>
      <x:c r="J22" s="91"/>
      <x:c r="K22" s="91"/>
      <x:c r="L22" s="91"/>
      <x:c r="M22" s="91"/>
      <x:c r="N22" s="91"/>
      <x:c r="O22" s="91"/>
      <x:c r="P22" s="91"/>
      <x:c r="Q22" s="91"/>
      <x:c r="R22" s="91"/>
      <x:c r="S22" s="91"/>
      <x:c r="T22" s="91"/>
      <x:c r="U22" s="26"/>
      <x:c r="V22" s="90"/>
      <x:c r="W22" s="89"/>
      <x:c r="X22" s="91"/>
      <x:c r="Y22" s="91"/>
      <x:c r="Z22" s="89"/>
      <x:c r="AA22" s="27"/>
      <x:c r="AB22" s="93"/>
      <x:c r="AC22" s="83"/>
      <x:c r="AD22" s="82"/>
      <x:c r="AE22" s="82"/>
      <x:c r="AF22" s="80"/>
      <x:c r="AG22" s="83"/>
    </x:row>
    <x:row r="23">
      <x:c r="A23" s="80"/>
      <x:c r="B23" s="25"/>
      <x:c r="C23" s="25"/>
      <x:c r="D23" s="80"/>
      <x:c r="E23" s="25"/>
      <x:c r="F23" s="89"/>
      <x:c r="G23" s="89"/>
      <x:c r="H23" s="89"/>
      <x:c r="I23" s="91"/>
      <x:c r="J23" s="91"/>
      <x:c r="K23" s="91"/>
      <x:c r="L23" s="91"/>
      <x:c r="M23" s="91"/>
      <x:c r="N23" s="91"/>
      <x:c r="O23" s="91"/>
      <x:c r="P23" s="91"/>
      <x:c r="Q23" s="91"/>
      <x:c r="R23" s="91"/>
      <x:c r="S23" s="91"/>
      <x:c r="T23" s="91"/>
      <x:c r="U23" s="26"/>
      <x:c r="V23" s="90"/>
      <x:c r="W23" s="89"/>
      <x:c r="X23" s="91"/>
      <x:c r="Y23" s="91"/>
      <x:c r="Z23" s="89"/>
      <x:c r="AA23" s="27"/>
      <x:c r="AB23" s="93"/>
      <x:c r="AC23" s="83"/>
      <x:c r="AD23" s="82"/>
      <x:c r="AE23" s="82"/>
      <x:c r="AF23" s="80"/>
      <x:c r="AG23" s="83"/>
    </x:row>
    <x:row r="24">
      <x:c r="A24" s="80"/>
      <x:c r="B24" s="25"/>
      <x:c r="C24" s="25"/>
      <x:c r="D24" s="80"/>
      <x:c r="E24" s="25"/>
      <x:c r="F24" s="89"/>
      <x:c r="G24" s="89"/>
      <x:c r="H24" s="89"/>
      <x:c r="I24" s="91"/>
      <x:c r="J24" s="91"/>
      <x:c r="K24" s="91"/>
      <x:c r="L24" s="91"/>
      <x:c r="M24" s="91"/>
      <x:c r="N24" s="91"/>
      <x:c r="O24" s="91"/>
      <x:c r="P24" s="91"/>
      <x:c r="Q24" s="91"/>
      <x:c r="R24" s="91"/>
      <x:c r="S24" s="91"/>
      <x:c r="T24" s="91"/>
      <x:c r="U24" s="26"/>
      <x:c r="V24" s="90"/>
      <x:c r="W24" s="89"/>
      <x:c r="X24" s="91"/>
      <x:c r="Y24" s="91"/>
      <x:c r="Z24" s="89"/>
      <x:c r="AA24" s="27"/>
      <x:c r="AB24" s="93"/>
      <x:c r="AC24" s="83"/>
      <x:c r="AD24" s="82"/>
      <x:c r="AE24" s="82"/>
      <x:c r="AF24" s="80"/>
      <x:c r="AG24" s="83"/>
    </x:row>
    <x:row r="25">
      <x:c r="A25" s="80"/>
      <x:c r="B25" s="25"/>
      <x:c r="C25" s="25"/>
      <x:c r="D25" s="80"/>
      <x:c r="E25" s="25"/>
      <x:c r="F25" s="89"/>
      <x:c r="G25" s="89"/>
      <x:c r="H25" s="89"/>
      <x:c r="I25" s="91"/>
      <x:c r="J25" s="91"/>
      <x:c r="K25" s="91"/>
      <x:c r="L25" s="91"/>
      <x:c r="M25" s="91"/>
      <x:c r="N25" s="91"/>
      <x:c r="O25" s="91"/>
      <x:c r="P25" s="91"/>
      <x:c r="Q25" s="91"/>
      <x:c r="R25" s="91"/>
      <x:c r="S25" s="91"/>
      <x:c r="T25" s="91"/>
      <x:c r="U25" s="26"/>
      <x:c r="V25" s="90"/>
      <x:c r="W25" s="89"/>
      <x:c r="X25" s="91"/>
      <x:c r="Y25" s="91"/>
      <x:c r="Z25" s="89"/>
      <x:c r="AA25" s="27"/>
      <x:c r="AB25" s="93"/>
      <x:c r="AC25" s="83"/>
      <x:c r="AD25" s="82"/>
      <x:c r="AE25" s="82"/>
      <x:c r="AF25" s="80"/>
      <x:c r="AG25" s="83"/>
    </x:row>
    <x:row r="26">
      <x:c r="A26" s="80"/>
      <x:c r="B26" s="25"/>
      <x:c r="C26" s="25"/>
      <x:c r="D26" s="80"/>
      <x:c r="E26" s="25"/>
      <x:c r="F26" s="89"/>
      <x:c r="G26" s="89"/>
      <x:c r="H26" s="89"/>
      <x:c r="I26" s="91"/>
      <x:c r="J26" s="91"/>
      <x:c r="K26" s="91"/>
      <x:c r="L26" s="91"/>
      <x:c r="M26" s="91"/>
      <x:c r="N26" s="91"/>
      <x:c r="O26" s="91"/>
      <x:c r="P26" s="91"/>
      <x:c r="Q26" s="91"/>
      <x:c r="R26" s="91"/>
      <x:c r="S26" s="91"/>
      <x:c r="T26" s="91"/>
      <x:c r="U26" s="26"/>
      <x:c r="V26" s="90"/>
      <x:c r="W26" s="89"/>
      <x:c r="X26" s="91"/>
      <x:c r="Y26" s="91"/>
      <x:c r="Z26" s="89"/>
      <x:c r="AA26" s="27"/>
      <x:c r="AB26" s="93"/>
      <x:c r="AC26" s="83"/>
      <x:c r="AD26" s="82"/>
      <x:c r="AE26" s="82"/>
      <x:c r="AF26" s="80"/>
      <x:c r="AG26" s="83"/>
    </x:row>
    <x:row r="27">
      <x:c r="A27" s="80"/>
      <x:c r="B27" s="25"/>
      <x:c r="C27" s="25"/>
      <x:c r="D27" s="80"/>
      <x:c r="E27" s="25"/>
      <x:c r="F27" s="89"/>
      <x:c r="G27" s="89"/>
      <x:c r="H27" s="89"/>
      <x:c r="I27" s="91"/>
      <x:c r="J27" s="91"/>
      <x:c r="K27" s="91"/>
      <x:c r="L27" s="91"/>
      <x:c r="M27" s="91"/>
      <x:c r="N27" s="91"/>
      <x:c r="O27" s="91"/>
      <x:c r="P27" s="91"/>
      <x:c r="Q27" s="91"/>
      <x:c r="R27" s="91"/>
      <x:c r="S27" s="91"/>
      <x:c r="T27" s="91"/>
      <x:c r="U27" s="26"/>
      <x:c r="V27" s="90"/>
      <x:c r="W27" s="89"/>
      <x:c r="X27" s="91"/>
      <x:c r="Y27" s="91"/>
      <x:c r="Z27" s="89"/>
      <x:c r="AA27" s="27"/>
      <x:c r="AB27" s="93"/>
      <x:c r="AC27" s="83"/>
      <x:c r="AD27" s="82"/>
      <x:c r="AE27" s="82"/>
      <x:c r="AF27" s="80"/>
      <x:c r="AG27" s="83"/>
    </x:row>
    <x:row r="28">
      <x:c r="A28" s="80"/>
      <x:c r="B28" s="25"/>
      <x:c r="C28" s="25"/>
      <x:c r="D28" s="80"/>
      <x:c r="E28" s="25"/>
      <x:c r="F28" s="89"/>
      <x:c r="G28" s="89"/>
      <x:c r="H28" s="89"/>
      <x:c r="I28" s="91"/>
      <x:c r="J28" s="91"/>
      <x:c r="K28" s="91"/>
      <x:c r="L28" s="91"/>
      <x:c r="M28" s="91"/>
      <x:c r="N28" s="91"/>
      <x:c r="O28" s="91"/>
      <x:c r="P28" s="91"/>
      <x:c r="Q28" s="91"/>
      <x:c r="R28" s="91"/>
      <x:c r="S28" s="91"/>
      <x:c r="T28" s="91"/>
      <x:c r="U28" s="26"/>
      <x:c r="V28" s="90"/>
      <x:c r="W28" s="89"/>
      <x:c r="X28" s="91"/>
      <x:c r="Y28" s="91"/>
      <x:c r="Z28" s="89"/>
      <x:c r="AA28" s="27"/>
      <x:c r="AB28" s="93"/>
      <x:c r="AC28" s="83"/>
      <x:c r="AD28" s="82"/>
      <x:c r="AE28" s="82"/>
      <x:c r="AF28" s="80"/>
      <x:c r="AG28" s="83"/>
    </x:row>
    <x:row r="29">
      <x:c r="A29" s="80"/>
      <x:c r="B29" s="25"/>
      <x:c r="C29" s="25"/>
      <x:c r="D29" s="80"/>
      <x:c r="E29" s="25"/>
      <x:c r="F29" s="89"/>
      <x:c r="G29" s="89"/>
      <x:c r="H29" s="89"/>
      <x:c r="I29" s="91"/>
      <x:c r="J29" s="91"/>
      <x:c r="K29" s="91"/>
      <x:c r="L29" s="91"/>
      <x:c r="M29" s="91"/>
      <x:c r="N29" s="91"/>
      <x:c r="O29" s="91"/>
      <x:c r="P29" s="91"/>
      <x:c r="Q29" s="91"/>
      <x:c r="R29" s="91"/>
      <x:c r="S29" s="91"/>
      <x:c r="T29" s="91"/>
      <x:c r="U29" s="26"/>
      <x:c r="V29" s="90"/>
      <x:c r="W29" s="89"/>
      <x:c r="X29" s="91"/>
      <x:c r="Y29" s="91"/>
      <x:c r="Z29" s="89"/>
      <x:c r="AA29" s="27"/>
      <x:c r="AB29" s="93"/>
      <x:c r="AC29" s="83"/>
      <x:c r="AD29" s="82"/>
      <x:c r="AE29" s="82"/>
      <x:c r="AF29" s="80"/>
      <x:c r="AG29" s="83"/>
    </x:row>
    <x:row r="30">
      <x:c r="A30" s="80"/>
      <x:c r="B30" s="25"/>
      <x:c r="C30" s="25"/>
      <x:c r="D30" s="80"/>
      <x:c r="E30" s="25"/>
      <x:c r="F30" s="89"/>
      <x:c r="G30" s="89"/>
      <x:c r="H30" s="89"/>
      <x:c r="I30" s="91"/>
      <x:c r="J30" s="91"/>
      <x:c r="K30" s="91"/>
      <x:c r="L30" s="91"/>
      <x:c r="M30" s="91"/>
      <x:c r="N30" s="91"/>
      <x:c r="O30" s="91"/>
      <x:c r="P30" s="91"/>
      <x:c r="Q30" s="91"/>
      <x:c r="R30" s="91"/>
      <x:c r="S30" s="91"/>
      <x:c r="T30" s="91"/>
      <x:c r="U30" s="26"/>
      <x:c r="V30" s="90"/>
      <x:c r="W30" s="89"/>
      <x:c r="X30" s="91"/>
      <x:c r="Y30" s="91"/>
      <x:c r="Z30" s="89"/>
      <x:c r="AA30" s="27"/>
      <x:c r="AB30" s="93"/>
      <x:c r="AC30" s="83"/>
      <x:c r="AD30" s="82"/>
      <x:c r="AE30" s="82"/>
      <x:c r="AF30" s="80"/>
      <x:c r="AG30" s="83"/>
    </x:row>
    <x:row r="31">
      <x:c r="A31" s="80"/>
      <x:c r="B31" s="25"/>
      <x:c r="C31" s="25"/>
      <x:c r="D31" s="80"/>
      <x:c r="E31" s="25"/>
      <x:c r="F31" s="89"/>
      <x:c r="G31" s="89"/>
      <x:c r="H31" s="89"/>
      <x:c r="I31" s="91"/>
      <x:c r="J31" s="91"/>
      <x:c r="K31" s="91"/>
      <x:c r="L31" s="91"/>
      <x:c r="M31" s="91"/>
      <x:c r="N31" s="91"/>
      <x:c r="O31" s="91"/>
      <x:c r="P31" s="91"/>
      <x:c r="Q31" s="91"/>
      <x:c r="R31" s="91"/>
      <x:c r="S31" s="91"/>
      <x:c r="T31" s="91"/>
      <x:c r="U31" s="26"/>
      <x:c r="V31" s="90"/>
      <x:c r="W31" s="89"/>
      <x:c r="X31" s="91"/>
      <x:c r="Y31" s="91"/>
      <x:c r="Z31" s="89"/>
      <x:c r="AA31" s="27"/>
      <x:c r="AB31" s="93"/>
      <x:c r="AC31" s="83"/>
      <x:c r="AD31" s="82"/>
      <x:c r="AE31" s="82"/>
      <x:c r="AF31" s="80"/>
      <x:c r="AG31" s="83"/>
    </x:row>
    <x:row r="32">
      <x:c r="A32" s="80"/>
      <x:c r="B32" s="25"/>
      <x:c r="C32" s="25"/>
      <x:c r="D32" s="80"/>
      <x:c r="E32" s="25"/>
      <x:c r="F32" s="89"/>
      <x:c r="G32" s="89"/>
      <x:c r="H32" s="89"/>
      <x:c r="I32" s="91"/>
      <x:c r="J32" s="91"/>
      <x:c r="K32" s="91"/>
      <x:c r="L32" s="91"/>
      <x:c r="M32" s="91"/>
      <x:c r="N32" s="91"/>
      <x:c r="O32" s="91"/>
      <x:c r="P32" s="91"/>
      <x:c r="Q32" s="91"/>
      <x:c r="R32" s="91"/>
      <x:c r="S32" s="91"/>
      <x:c r="T32" s="91"/>
      <x:c r="U32" s="26"/>
      <x:c r="V32" s="90"/>
      <x:c r="W32" s="89"/>
      <x:c r="X32" s="91"/>
      <x:c r="Y32" s="91"/>
      <x:c r="Z32" s="89"/>
      <x:c r="AA32" s="27"/>
      <x:c r="AB32" s="93"/>
      <x:c r="AC32" s="83"/>
      <x:c r="AD32" s="82"/>
      <x:c r="AE32" s="82"/>
      <x:c r="AF32" s="80"/>
      <x:c r="AG32" s="83"/>
    </x:row>
    <x:row r="33">
      <x:c r="A33" s="80"/>
      <x:c r="B33" s="25"/>
      <x:c r="C33" s="25"/>
      <x:c r="D33" s="80"/>
      <x:c r="E33" s="25"/>
      <x:c r="F33" s="89"/>
      <x:c r="G33" s="89"/>
      <x:c r="H33" s="89"/>
      <x:c r="I33" s="91"/>
      <x:c r="J33" s="91"/>
      <x:c r="K33" s="91"/>
      <x:c r="L33" s="91"/>
      <x:c r="M33" s="91"/>
      <x:c r="N33" s="91"/>
      <x:c r="O33" s="91"/>
      <x:c r="P33" s="91"/>
      <x:c r="Q33" s="91"/>
      <x:c r="R33" s="91"/>
      <x:c r="S33" s="91"/>
      <x:c r="T33" s="91"/>
      <x:c r="U33" s="26"/>
      <x:c r="V33" s="90"/>
      <x:c r="W33" s="89"/>
      <x:c r="X33" s="91"/>
      <x:c r="Y33" s="91"/>
      <x:c r="Z33" s="89"/>
      <x:c r="AA33" s="27"/>
      <x:c r="AB33" s="93"/>
      <x:c r="AC33" s="83"/>
      <x:c r="AD33" s="82"/>
      <x:c r="AE33" s="82"/>
      <x:c r="AF33" s="80"/>
      <x:c r="AG33" s="83"/>
    </x:row>
    <x:row r="34">
      <x:c r="A34" s="80"/>
      <x:c r="B34" s="25"/>
      <x:c r="C34" s="25"/>
      <x:c r="D34" s="80"/>
      <x:c r="E34" s="25"/>
      <x:c r="F34" s="89"/>
      <x:c r="G34" s="89"/>
      <x:c r="H34" s="89"/>
      <x:c r="I34" s="91"/>
      <x:c r="J34" s="91"/>
      <x:c r="K34" s="91"/>
      <x:c r="L34" s="91"/>
      <x:c r="M34" s="91"/>
      <x:c r="N34" s="91"/>
      <x:c r="O34" s="91"/>
      <x:c r="P34" s="91"/>
      <x:c r="Q34" s="91"/>
      <x:c r="R34" s="91"/>
      <x:c r="S34" s="91"/>
      <x:c r="T34" s="91"/>
      <x:c r="U34" s="26"/>
      <x:c r="V34" s="90"/>
      <x:c r="W34" s="89"/>
      <x:c r="X34" s="91"/>
      <x:c r="Y34" s="91"/>
      <x:c r="Z34" s="89"/>
      <x:c r="AA34" s="27"/>
      <x:c r="AB34" s="93"/>
      <x:c r="AC34" s="83"/>
      <x:c r="AD34" s="82"/>
      <x:c r="AE34" s="82"/>
      <x:c r="AF34" s="80"/>
      <x:c r="AG34" s="83"/>
    </x:row>
    <x:row r="35">
      <x:c r="A35" s="80"/>
      <x:c r="B35" s="25"/>
      <x:c r="C35" s="25"/>
      <x:c r="D35" s="80"/>
      <x:c r="E35" s="25"/>
      <x:c r="F35" s="89"/>
      <x:c r="G35" s="89"/>
      <x:c r="H35" s="89"/>
      <x:c r="I35" s="91"/>
      <x:c r="J35" s="91"/>
      <x:c r="K35" s="91"/>
      <x:c r="L35" s="91"/>
      <x:c r="M35" s="91"/>
      <x:c r="N35" s="91"/>
      <x:c r="O35" s="91"/>
      <x:c r="P35" s="91"/>
      <x:c r="Q35" s="91"/>
      <x:c r="R35" s="91"/>
      <x:c r="S35" s="91"/>
      <x:c r="T35" s="91"/>
      <x:c r="U35" s="26"/>
      <x:c r="V35" s="90"/>
      <x:c r="W35" s="89"/>
      <x:c r="X35" s="91"/>
      <x:c r="Y35" s="91"/>
      <x:c r="Z35" s="89"/>
      <x:c r="AA35" s="27"/>
      <x:c r="AB35" s="93"/>
      <x:c r="AC35" s="83"/>
      <x:c r="AD35" s="82"/>
      <x:c r="AE35" s="82"/>
      <x:c r="AF35" s="80"/>
      <x:c r="AG35" s="83"/>
    </x:row>
    <x:row r="36">
      <x:c r="A36" s="80"/>
      <x:c r="B36" s="25"/>
      <x:c r="C36" s="25"/>
      <x:c r="D36" s="80"/>
      <x:c r="E36" s="25"/>
      <x:c r="F36" s="89"/>
      <x:c r="G36" s="89"/>
      <x:c r="H36" s="89"/>
      <x:c r="I36" s="91"/>
      <x:c r="J36" s="91"/>
      <x:c r="K36" s="91"/>
      <x:c r="L36" s="91"/>
      <x:c r="M36" s="91"/>
      <x:c r="N36" s="91"/>
      <x:c r="O36" s="91"/>
      <x:c r="P36" s="91"/>
      <x:c r="Q36" s="91"/>
      <x:c r="R36" s="91"/>
      <x:c r="S36" s="91"/>
      <x:c r="T36" s="91"/>
      <x:c r="U36" s="26"/>
      <x:c r="V36" s="90"/>
      <x:c r="W36" s="89"/>
      <x:c r="X36" s="91"/>
      <x:c r="Y36" s="91"/>
      <x:c r="Z36" s="89"/>
      <x:c r="AA36" s="27"/>
      <x:c r="AB36" s="93"/>
      <x:c r="AC36" s="83"/>
      <x:c r="AD36" s="82"/>
      <x:c r="AE36" s="82"/>
      <x:c r="AF36" s="80"/>
      <x:c r="AG36" s="83"/>
    </x:row>
    <x:row r="37">
      <x:c r="A37" s="80"/>
      <x:c r="B37" s="25"/>
      <x:c r="C37" s="25"/>
      <x:c r="D37" s="80"/>
      <x:c r="E37" s="25"/>
      <x:c r="F37" s="89"/>
      <x:c r="G37" s="89"/>
      <x:c r="H37" s="89"/>
      <x:c r="I37" s="91"/>
      <x:c r="J37" s="91"/>
      <x:c r="K37" s="91"/>
      <x:c r="L37" s="91"/>
      <x:c r="M37" s="91"/>
      <x:c r="N37" s="91"/>
      <x:c r="O37" s="91"/>
      <x:c r="P37" s="91"/>
      <x:c r="Q37" s="91"/>
      <x:c r="R37" s="91"/>
      <x:c r="S37" s="91"/>
      <x:c r="T37" s="91"/>
      <x:c r="U37" s="26"/>
      <x:c r="V37" s="90"/>
      <x:c r="W37" s="89"/>
      <x:c r="X37" s="91"/>
      <x:c r="Y37" s="91"/>
      <x:c r="Z37" s="89"/>
      <x:c r="AA37" s="27"/>
      <x:c r="AB37" s="93"/>
      <x:c r="AC37" s="83"/>
      <x:c r="AD37" s="82"/>
      <x:c r="AE37" s="82"/>
      <x:c r="AF37" s="80"/>
      <x:c r="AG37" s="83"/>
    </x:row>
    <x:row r="38">
      <x:c r="A38" s="80"/>
      <x:c r="B38" s="25"/>
      <x:c r="C38" s="25"/>
      <x:c r="D38" s="80"/>
      <x:c r="E38" s="25"/>
      <x:c r="F38" s="89"/>
      <x:c r="G38" s="89"/>
      <x:c r="H38" s="89"/>
      <x:c r="I38" s="91"/>
      <x:c r="J38" s="91"/>
      <x:c r="K38" s="91"/>
      <x:c r="L38" s="91"/>
      <x:c r="M38" s="91"/>
      <x:c r="N38" s="91"/>
      <x:c r="O38" s="91"/>
      <x:c r="P38" s="91"/>
      <x:c r="Q38" s="91"/>
      <x:c r="R38" s="91"/>
      <x:c r="S38" s="91"/>
      <x:c r="T38" s="91"/>
      <x:c r="U38" s="26"/>
      <x:c r="V38" s="90"/>
      <x:c r="W38" s="89"/>
      <x:c r="X38" s="91"/>
      <x:c r="Y38" s="91"/>
      <x:c r="Z38" s="89"/>
      <x:c r="AA38" s="27"/>
      <x:c r="AB38" s="93"/>
      <x:c r="AC38" s="83"/>
      <x:c r="AD38" s="82"/>
      <x:c r="AE38" s="82"/>
      <x:c r="AF38" s="80"/>
      <x:c r="AG38" s="83"/>
    </x:row>
    <x:row r="39">
      <x:c r="A39" s="80"/>
      <x:c r="B39" s="25"/>
      <x:c r="C39" s="25"/>
      <x:c r="D39" s="80"/>
      <x:c r="E39" s="25"/>
      <x:c r="F39" s="89"/>
      <x:c r="G39" s="89"/>
      <x:c r="H39" s="89"/>
      <x:c r="I39" s="91"/>
      <x:c r="J39" s="91"/>
      <x:c r="K39" s="91"/>
      <x:c r="L39" s="91"/>
      <x:c r="M39" s="91"/>
      <x:c r="N39" s="91"/>
      <x:c r="O39" s="91"/>
      <x:c r="P39" s="91"/>
      <x:c r="Q39" s="91"/>
      <x:c r="R39" s="91"/>
      <x:c r="S39" s="91"/>
      <x:c r="T39" s="91"/>
      <x:c r="U39" s="26"/>
      <x:c r="V39" s="90"/>
      <x:c r="W39" s="89"/>
      <x:c r="X39" s="91"/>
      <x:c r="Y39" s="91"/>
      <x:c r="Z39" s="89"/>
      <x:c r="AA39" s="27"/>
      <x:c r="AB39" s="93"/>
      <x:c r="AC39" s="83"/>
      <x:c r="AD39" s="82"/>
      <x:c r="AE39" s="82"/>
      <x:c r="AF39" s="80"/>
      <x:c r="AG39" s="83"/>
    </x:row>
    <x:row r="40">
      <x:c r="A40" s="80"/>
      <x:c r="B40" s="25"/>
      <x:c r="C40" s="25"/>
      <x:c r="D40" s="80"/>
      <x:c r="E40" s="25"/>
      <x:c r="F40" s="89"/>
      <x:c r="G40" s="89"/>
      <x:c r="H40" s="89"/>
      <x:c r="I40" s="91"/>
      <x:c r="J40" s="91"/>
      <x:c r="K40" s="91"/>
      <x:c r="L40" s="91"/>
      <x:c r="M40" s="91"/>
      <x:c r="N40" s="91"/>
      <x:c r="O40" s="91"/>
      <x:c r="P40" s="91"/>
      <x:c r="Q40" s="91"/>
      <x:c r="R40" s="91"/>
      <x:c r="S40" s="91"/>
      <x:c r="T40" s="91"/>
      <x:c r="U40" s="26"/>
      <x:c r="V40" s="90"/>
      <x:c r="W40" s="89"/>
      <x:c r="X40" s="91"/>
      <x:c r="Y40" s="91"/>
      <x:c r="Z40" s="89"/>
      <x:c r="AA40" s="27"/>
      <x:c r="AB40" s="93"/>
      <x:c r="AC40" s="83"/>
      <x:c r="AD40" s="82"/>
      <x:c r="AE40" s="82"/>
      <x:c r="AF40" s="80"/>
      <x:c r="AG40" s="83"/>
    </x:row>
    <x:row r="41">
      <x:c r="A41" s="80"/>
      <x:c r="B41" s="25"/>
      <x:c r="C41" s="25"/>
      <x:c r="D41" s="80"/>
      <x:c r="E41" s="25"/>
      <x:c r="F41" s="89"/>
      <x:c r="G41" s="89"/>
      <x:c r="H41" s="89"/>
      <x:c r="I41" s="91"/>
      <x:c r="J41" s="91"/>
      <x:c r="K41" s="91"/>
      <x:c r="L41" s="91"/>
      <x:c r="M41" s="91"/>
      <x:c r="N41" s="91"/>
      <x:c r="O41" s="91"/>
      <x:c r="P41" s="91"/>
      <x:c r="Q41" s="91"/>
      <x:c r="R41" s="91"/>
      <x:c r="S41" s="91"/>
      <x:c r="T41" s="91"/>
      <x:c r="U41" s="26"/>
      <x:c r="V41" s="90"/>
      <x:c r="W41" s="89"/>
      <x:c r="X41" s="91"/>
      <x:c r="Y41" s="91"/>
      <x:c r="Z41" s="89"/>
      <x:c r="AA41" s="27"/>
      <x:c r="AB41" s="93"/>
      <x:c r="AC41" s="83"/>
      <x:c r="AD41" s="82"/>
      <x:c r="AE41" s="82"/>
      <x:c r="AF41" s="80"/>
      <x:c r="AG41" s="83"/>
    </x:row>
    <x:row r="42">
      <x:c r="A42" s="80"/>
      <x:c r="B42" s="25"/>
      <x:c r="C42" s="25"/>
      <x:c r="D42" s="80"/>
      <x:c r="E42" s="25"/>
      <x:c r="F42" s="89"/>
      <x:c r="G42" s="89"/>
      <x:c r="H42" s="89"/>
      <x:c r="I42" s="91"/>
      <x:c r="J42" s="91"/>
      <x:c r="K42" s="91"/>
      <x:c r="L42" s="91"/>
      <x:c r="M42" s="91"/>
      <x:c r="N42" s="91"/>
      <x:c r="O42" s="91"/>
      <x:c r="P42" s="91"/>
      <x:c r="Q42" s="91"/>
      <x:c r="R42" s="91"/>
      <x:c r="S42" s="91"/>
      <x:c r="T42" s="91"/>
      <x:c r="U42" s="26"/>
      <x:c r="V42" s="90"/>
      <x:c r="W42" s="89"/>
      <x:c r="X42" s="91"/>
      <x:c r="Y42" s="91"/>
      <x:c r="Z42" s="89"/>
      <x:c r="AA42" s="27"/>
      <x:c r="AB42" s="93"/>
      <x:c r="AC42" s="83"/>
      <x:c r="AD42" s="82"/>
      <x:c r="AE42" s="82"/>
      <x:c r="AF42" s="80"/>
      <x:c r="AG42" s="83"/>
    </x:row>
    <x:row r="43">
      <x:c r="A43" s="80"/>
      <x:c r="B43" s="25"/>
      <x:c r="C43" s="25"/>
      <x:c r="D43" s="80"/>
      <x:c r="E43" s="25"/>
      <x:c r="F43" s="89"/>
      <x:c r="G43" s="89"/>
      <x:c r="H43" s="89"/>
      <x:c r="I43" s="91"/>
      <x:c r="J43" s="91"/>
      <x:c r="K43" s="91"/>
      <x:c r="L43" s="91"/>
      <x:c r="M43" s="91"/>
      <x:c r="N43" s="91"/>
      <x:c r="O43" s="91"/>
      <x:c r="P43" s="91"/>
      <x:c r="Q43" s="91"/>
      <x:c r="R43" s="91"/>
      <x:c r="S43" s="91"/>
      <x:c r="T43" s="91"/>
      <x:c r="U43" s="26"/>
      <x:c r="V43" s="90"/>
      <x:c r="W43" s="89"/>
      <x:c r="X43" s="91"/>
      <x:c r="Y43" s="91"/>
      <x:c r="Z43" s="89"/>
      <x:c r="AA43" s="27"/>
      <x:c r="AB43" s="93"/>
      <x:c r="AC43" s="83"/>
      <x:c r="AD43" s="82"/>
      <x:c r="AE43" s="82"/>
      <x:c r="AF43" s="80"/>
      <x:c r="AG43" s="83"/>
    </x:row>
    <x:row r="44">
      <x:c r="A44" s="80"/>
      <x:c r="B44" s="25"/>
      <x:c r="C44" s="25"/>
      <x:c r="D44" s="80"/>
      <x:c r="E44" s="25"/>
      <x:c r="F44" s="89"/>
      <x:c r="G44" s="89"/>
      <x:c r="H44" s="89"/>
      <x:c r="I44" s="91"/>
      <x:c r="J44" s="91"/>
      <x:c r="K44" s="91"/>
      <x:c r="L44" s="91"/>
      <x:c r="M44" s="91"/>
      <x:c r="N44" s="91"/>
      <x:c r="O44" s="91"/>
      <x:c r="P44" s="91"/>
      <x:c r="Q44" s="91"/>
      <x:c r="R44" s="91"/>
      <x:c r="S44" s="91"/>
      <x:c r="T44" s="91"/>
      <x:c r="U44" s="26"/>
      <x:c r="V44" s="90"/>
      <x:c r="W44" s="89"/>
      <x:c r="X44" s="91"/>
      <x:c r="Y44" s="91"/>
      <x:c r="Z44" s="89"/>
      <x:c r="AA44" s="27"/>
      <x:c r="AB44" s="93"/>
      <x:c r="AC44" s="83"/>
      <x:c r="AD44" s="82"/>
      <x:c r="AE44" s="82"/>
      <x:c r="AF44" s="80"/>
      <x:c r="AG44" s="83"/>
    </x:row>
    <x:row r="45">
      <x:c r="A45" s="80"/>
      <x:c r="B45" s="25"/>
      <x:c r="C45" s="25"/>
      <x:c r="D45" s="80"/>
      <x:c r="E45" s="25"/>
      <x:c r="F45" s="89"/>
      <x:c r="G45" s="89"/>
      <x:c r="H45" s="89"/>
      <x:c r="I45" s="91"/>
      <x:c r="J45" s="91"/>
      <x:c r="K45" s="91"/>
      <x:c r="L45" s="91"/>
      <x:c r="M45" s="91"/>
      <x:c r="N45" s="91"/>
      <x:c r="O45" s="91"/>
      <x:c r="P45" s="91"/>
      <x:c r="Q45" s="91"/>
      <x:c r="R45" s="91"/>
      <x:c r="S45" s="91"/>
      <x:c r="T45" s="91"/>
      <x:c r="U45" s="26"/>
      <x:c r="V45" s="90"/>
      <x:c r="W45" s="89"/>
      <x:c r="X45" s="91"/>
      <x:c r="Y45" s="91"/>
      <x:c r="Z45" s="89"/>
      <x:c r="AA45" s="27"/>
      <x:c r="AB45" s="93"/>
      <x:c r="AC45" s="83"/>
      <x:c r="AD45" s="82"/>
      <x:c r="AE45" s="82"/>
      <x:c r="AF45" s="80"/>
      <x:c r="AG45" s="83"/>
    </x:row>
    <x:row r="46">
      <x:c r="A46" s="80"/>
      <x:c r="B46" s="25"/>
      <x:c r="C46" s="25"/>
      <x:c r="D46" s="80"/>
      <x:c r="E46" s="25"/>
      <x:c r="F46" s="89"/>
      <x:c r="G46" s="89"/>
      <x:c r="H46" s="89"/>
      <x:c r="I46" s="91"/>
      <x:c r="J46" s="91"/>
      <x:c r="K46" s="91"/>
      <x:c r="L46" s="91"/>
      <x:c r="M46" s="91"/>
      <x:c r="N46" s="91"/>
      <x:c r="O46" s="91"/>
      <x:c r="P46" s="91"/>
      <x:c r="Q46" s="91"/>
      <x:c r="R46" s="91"/>
      <x:c r="S46" s="91"/>
      <x:c r="T46" s="91"/>
      <x:c r="U46" s="26"/>
      <x:c r="V46" s="90"/>
      <x:c r="W46" s="89"/>
      <x:c r="X46" s="91"/>
      <x:c r="Y46" s="91"/>
      <x:c r="Z46" s="89"/>
      <x:c r="AA46" s="27"/>
      <x:c r="AB46" s="93"/>
      <x:c r="AC46" s="83"/>
      <x:c r="AD46" s="82"/>
      <x:c r="AE46" s="82"/>
      <x:c r="AF46" s="80"/>
      <x:c r="AG46" s="83"/>
    </x:row>
    <x:row r="47">
      <x:c r="A47" s="80"/>
      <x:c r="B47" s="25"/>
      <x:c r="C47" s="25"/>
      <x:c r="D47" s="80"/>
      <x:c r="E47" s="25"/>
      <x:c r="F47" s="89"/>
      <x:c r="G47" s="89"/>
      <x:c r="H47" s="89"/>
      <x:c r="I47" s="91"/>
      <x:c r="J47" s="91"/>
      <x:c r="K47" s="91"/>
      <x:c r="L47" s="91"/>
      <x:c r="M47" s="91"/>
      <x:c r="N47" s="91"/>
      <x:c r="O47" s="91"/>
      <x:c r="P47" s="91"/>
      <x:c r="Q47" s="91"/>
      <x:c r="R47" s="91"/>
      <x:c r="S47" s="91"/>
      <x:c r="T47" s="91"/>
      <x:c r="U47" s="26"/>
      <x:c r="V47" s="90"/>
      <x:c r="W47" s="89"/>
      <x:c r="X47" s="91"/>
      <x:c r="Y47" s="91"/>
      <x:c r="Z47" s="89"/>
      <x:c r="AA47" s="27"/>
      <x:c r="AB47" s="93"/>
      <x:c r="AC47" s="83"/>
      <x:c r="AD47" s="82"/>
      <x:c r="AE47" s="82"/>
      <x:c r="AF47" s="80"/>
      <x:c r="AG47" s="83"/>
    </x:row>
    <x:row r="48">
      <x:c r="A48" s="80"/>
      <x:c r="B48" s="25"/>
      <x:c r="C48" s="25"/>
      <x:c r="D48" s="80"/>
      <x:c r="E48" s="25"/>
      <x:c r="F48" s="89"/>
      <x:c r="G48" s="89"/>
      <x:c r="H48" s="89"/>
      <x:c r="I48" s="91"/>
      <x:c r="J48" s="91"/>
      <x:c r="K48" s="91"/>
      <x:c r="L48" s="91"/>
      <x:c r="M48" s="91"/>
      <x:c r="N48" s="91"/>
      <x:c r="O48" s="91"/>
      <x:c r="P48" s="91"/>
      <x:c r="Q48" s="91"/>
      <x:c r="R48" s="91"/>
      <x:c r="S48" s="91"/>
      <x:c r="T48" s="91"/>
      <x:c r="U48" s="26"/>
      <x:c r="V48" s="90"/>
      <x:c r="W48" s="89"/>
      <x:c r="X48" s="91"/>
      <x:c r="Y48" s="91"/>
      <x:c r="Z48" s="89"/>
      <x:c r="AA48" s="27"/>
      <x:c r="AB48" s="93"/>
      <x:c r="AC48" s="83"/>
      <x:c r="AD48" s="82"/>
      <x:c r="AE48" s="82"/>
      <x:c r="AF48" s="80"/>
      <x:c r="AG48" s="83"/>
    </x:row>
    <x:row r="49">
      <x:c r="A49" s="80"/>
      <x:c r="B49" s="25"/>
      <x:c r="C49" s="25"/>
      <x:c r="D49" s="80"/>
      <x:c r="E49" s="25"/>
      <x:c r="F49" s="89"/>
      <x:c r="G49" s="89"/>
      <x:c r="H49" s="89"/>
      <x:c r="I49" s="91"/>
      <x:c r="J49" s="91"/>
      <x:c r="K49" s="91"/>
      <x:c r="L49" s="91"/>
      <x:c r="M49" s="91"/>
      <x:c r="N49" s="91"/>
      <x:c r="O49" s="91"/>
      <x:c r="P49" s="91"/>
      <x:c r="Q49" s="91"/>
      <x:c r="R49" s="91"/>
      <x:c r="S49" s="91"/>
      <x:c r="T49" s="91"/>
      <x:c r="U49" s="26"/>
      <x:c r="V49" s="90"/>
      <x:c r="W49" s="89"/>
      <x:c r="X49" s="91"/>
      <x:c r="Y49" s="91"/>
      <x:c r="Z49" s="89"/>
      <x:c r="AA49" s="27"/>
      <x:c r="AB49" s="93"/>
      <x:c r="AC49" s="83"/>
      <x:c r="AD49" s="82"/>
      <x:c r="AE49" s="82"/>
      <x:c r="AF49" s="80"/>
      <x:c r="AG49" s="83"/>
    </x:row>
    <x:row r="50">
      <x:c r="A50" s="80"/>
      <x:c r="B50" s="25"/>
      <x:c r="C50" s="25"/>
      <x:c r="D50" s="80"/>
      <x:c r="E50" s="25"/>
      <x:c r="F50" s="89"/>
      <x:c r="G50" s="89"/>
      <x:c r="H50" s="89"/>
      <x:c r="I50" s="91"/>
      <x:c r="J50" s="91"/>
      <x:c r="K50" s="91"/>
      <x:c r="L50" s="91"/>
      <x:c r="M50" s="91"/>
      <x:c r="N50" s="91"/>
      <x:c r="O50" s="91"/>
      <x:c r="P50" s="91"/>
      <x:c r="Q50" s="91"/>
      <x:c r="R50" s="91"/>
      <x:c r="S50" s="91"/>
      <x:c r="T50" s="91"/>
      <x:c r="U50" s="26"/>
      <x:c r="V50" s="90"/>
      <x:c r="W50" s="89"/>
      <x:c r="X50" s="91"/>
      <x:c r="Y50" s="91"/>
      <x:c r="Z50" s="89"/>
      <x:c r="AA50" s="27"/>
      <x:c r="AB50" s="93"/>
      <x:c r="AC50" s="83"/>
      <x:c r="AD50" s="82"/>
      <x:c r="AE50" s="82"/>
      <x:c r="AF50" s="80"/>
      <x:c r="AG50" s="83"/>
    </x:row>
    <x:row r="51">
      <x:c r="A51" s="80"/>
      <x:c r="B51" s="25"/>
      <x:c r="C51" s="25"/>
      <x:c r="D51" s="80"/>
      <x:c r="E51" s="25"/>
      <x:c r="F51" s="89"/>
      <x:c r="G51" s="89"/>
      <x:c r="H51" s="89"/>
      <x:c r="I51" s="91"/>
      <x:c r="J51" s="91"/>
      <x:c r="K51" s="91"/>
      <x:c r="L51" s="91"/>
      <x:c r="M51" s="91"/>
      <x:c r="N51" s="91"/>
      <x:c r="O51" s="91"/>
      <x:c r="P51" s="91"/>
      <x:c r="Q51" s="91"/>
      <x:c r="R51" s="91"/>
      <x:c r="S51" s="91"/>
      <x:c r="T51" s="91"/>
      <x:c r="U51" s="26"/>
      <x:c r="V51" s="90"/>
      <x:c r="W51" s="89"/>
      <x:c r="X51" s="91"/>
      <x:c r="Y51" s="91"/>
      <x:c r="Z51" s="89"/>
      <x:c r="AA51" s="27"/>
      <x:c r="AB51" s="93"/>
      <x:c r="AC51" s="83"/>
      <x:c r="AD51" s="82"/>
      <x:c r="AE51" s="82"/>
      <x:c r="AF51" s="80"/>
      <x:c r="AG51" s="83"/>
    </x:row>
    <x:row r="52">
      <x:c r="A52" s="80"/>
      <x:c r="B52" s="25"/>
      <x:c r="C52" s="25"/>
      <x:c r="D52" s="80"/>
      <x:c r="E52" s="25"/>
      <x:c r="F52" s="89"/>
      <x:c r="G52" s="89"/>
      <x:c r="H52" s="89"/>
      <x:c r="I52" s="91"/>
      <x:c r="J52" s="91"/>
      <x:c r="K52" s="91"/>
      <x:c r="L52" s="91"/>
      <x:c r="M52" s="91"/>
      <x:c r="N52" s="91"/>
      <x:c r="O52" s="91"/>
      <x:c r="P52" s="91"/>
      <x:c r="Q52" s="91"/>
      <x:c r="R52" s="91"/>
      <x:c r="S52" s="91"/>
      <x:c r="T52" s="91"/>
      <x:c r="U52" s="26"/>
      <x:c r="V52" s="90"/>
      <x:c r="W52" s="89"/>
      <x:c r="X52" s="91"/>
      <x:c r="Y52" s="91"/>
      <x:c r="Z52" s="89"/>
      <x:c r="AA52" s="27"/>
      <x:c r="AB52" s="93"/>
      <x:c r="AC52" s="83"/>
      <x:c r="AD52" s="82"/>
      <x:c r="AE52" s="82"/>
      <x:c r="AF52" s="80"/>
      <x:c r="AG52" s="83"/>
    </x:row>
    <x:row r="53">
      <x:c r="A53" s="80"/>
      <x:c r="B53" s="25"/>
      <x:c r="C53" s="25"/>
      <x:c r="D53" s="80"/>
      <x:c r="E53" s="25"/>
      <x:c r="F53" s="89"/>
      <x:c r="G53" s="89"/>
      <x:c r="H53" s="89"/>
      <x:c r="I53" s="91"/>
      <x:c r="J53" s="91"/>
      <x:c r="K53" s="91"/>
      <x:c r="L53" s="91"/>
      <x:c r="M53" s="91"/>
      <x:c r="N53" s="91"/>
      <x:c r="O53" s="91"/>
      <x:c r="P53" s="91"/>
      <x:c r="Q53" s="91"/>
      <x:c r="R53" s="91"/>
      <x:c r="S53" s="91"/>
      <x:c r="T53" s="91"/>
      <x:c r="U53" s="26"/>
      <x:c r="V53" s="90"/>
      <x:c r="W53" s="89"/>
      <x:c r="X53" s="91"/>
      <x:c r="Y53" s="91"/>
      <x:c r="Z53" s="89"/>
      <x:c r="AA53" s="27"/>
      <x:c r="AB53" s="93"/>
      <x:c r="AC53" s="83"/>
      <x:c r="AD53" s="82"/>
      <x:c r="AE53" s="82"/>
      <x:c r="AF53" s="80"/>
      <x:c r="AG53" s="83"/>
    </x:row>
    <x:row r="54">
      <x:c r="A54" s="80"/>
      <x:c r="B54" s="25"/>
      <x:c r="C54" s="25"/>
      <x:c r="D54" s="80"/>
      <x:c r="E54" s="25"/>
      <x:c r="F54" s="89"/>
      <x:c r="G54" s="89"/>
      <x:c r="H54" s="89"/>
      <x:c r="I54" s="91"/>
      <x:c r="J54" s="91"/>
      <x:c r="K54" s="91"/>
      <x:c r="L54" s="91"/>
      <x:c r="M54" s="91"/>
      <x:c r="N54" s="91"/>
      <x:c r="O54" s="91"/>
      <x:c r="P54" s="91"/>
      <x:c r="Q54" s="91"/>
      <x:c r="R54" s="91"/>
      <x:c r="S54" s="91"/>
      <x:c r="T54" s="91"/>
      <x:c r="U54" s="26"/>
      <x:c r="V54" s="90"/>
      <x:c r="W54" s="89"/>
      <x:c r="X54" s="91"/>
      <x:c r="Y54" s="91"/>
      <x:c r="Z54" s="89"/>
      <x:c r="AA54" s="27"/>
      <x:c r="AB54" s="93"/>
      <x:c r="AC54" s="83"/>
      <x:c r="AD54" s="82"/>
      <x:c r="AE54" s="82"/>
      <x:c r="AF54" s="80"/>
      <x:c r="AG54" s="83"/>
    </x:row>
    <x:row r="55">
      <x:c r="A55" s="80"/>
      <x:c r="B55" s="25"/>
      <x:c r="C55" s="25"/>
      <x:c r="D55" s="80"/>
      <x:c r="E55" s="25"/>
      <x:c r="F55" s="89"/>
      <x:c r="G55" s="89"/>
      <x:c r="H55" s="89"/>
      <x:c r="I55" s="91"/>
      <x:c r="J55" s="91"/>
      <x:c r="K55" s="91"/>
      <x:c r="L55" s="91"/>
      <x:c r="M55" s="91"/>
      <x:c r="N55" s="91"/>
      <x:c r="O55" s="91"/>
      <x:c r="P55" s="91"/>
      <x:c r="Q55" s="91"/>
      <x:c r="R55" s="91"/>
      <x:c r="S55" s="91"/>
      <x:c r="T55" s="91"/>
      <x:c r="U55" s="26"/>
      <x:c r="V55" s="90"/>
      <x:c r="W55" s="89"/>
      <x:c r="X55" s="91"/>
      <x:c r="Y55" s="91"/>
      <x:c r="Z55" s="89"/>
      <x:c r="AA55" s="27"/>
      <x:c r="AB55" s="93"/>
      <x:c r="AC55" s="83"/>
      <x:c r="AD55" s="82"/>
      <x:c r="AE55" s="82"/>
      <x:c r="AF55" s="80"/>
      <x:c r="AG55" s="83"/>
    </x:row>
    <x:row r="56">
      <x:c r="A56" s="80"/>
      <x:c r="B56" s="25"/>
      <x:c r="C56" s="25"/>
      <x:c r="D56" s="80"/>
      <x:c r="E56" s="25"/>
      <x:c r="F56" s="89"/>
      <x:c r="G56" s="89"/>
      <x:c r="H56" s="89"/>
      <x:c r="I56" s="91"/>
      <x:c r="J56" s="91"/>
      <x:c r="K56" s="91"/>
      <x:c r="L56" s="91"/>
      <x:c r="M56" s="91"/>
      <x:c r="N56" s="91"/>
      <x:c r="O56" s="91"/>
      <x:c r="P56" s="91"/>
      <x:c r="Q56" s="91"/>
      <x:c r="R56" s="91"/>
      <x:c r="S56" s="91"/>
      <x:c r="T56" s="91"/>
      <x:c r="U56" s="26"/>
      <x:c r="V56" s="90"/>
      <x:c r="W56" s="89"/>
      <x:c r="X56" s="91"/>
      <x:c r="Y56" s="91"/>
      <x:c r="Z56" s="89"/>
      <x:c r="AA56" s="27"/>
      <x:c r="AB56" s="93"/>
      <x:c r="AC56" s="83"/>
      <x:c r="AD56" s="82"/>
      <x:c r="AE56" s="82"/>
      <x:c r="AF56" s="80"/>
      <x:c r="AG56" s="83"/>
    </x:row>
    <x:row r="57">
      <x:c r="A57" s="80"/>
      <x:c r="B57" s="25"/>
      <x:c r="C57" s="25"/>
      <x:c r="D57" s="80"/>
      <x:c r="E57" s="25"/>
      <x:c r="F57" s="89"/>
      <x:c r="G57" s="89"/>
      <x:c r="H57" s="89"/>
      <x:c r="I57" s="91"/>
      <x:c r="J57" s="91"/>
      <x:c r="K57" s="91"/>
      <x:c r="L57" s="91"/>
      <x:c r="M57" s="91"/>
      <x:c r="N57" s="91"/>
      <x:c r="O57" s="91"/>
      <x:c r="P57" s="91"/>
      <x:c r="Q57" s="91"/>
      <x:c r="R57" s="91"/>
      <x:c r="S57" s="91"/>
      <x:c r="T57" s="91"/>
      <x:c r="U57" s="26"/>
      <x:c r="V57" s="90"/>
      <x:c r="W57" s="89"/>
      <x:c r="X57" s="91"/>
      <x:c r="Y57" s="91"/>
      <x:c r="Z57" s="89"/>
      <x:c r="AA57" s="27"/>
      <x:c r="AB57" s="93"/>
      <x:c r="AC57" s="83"/>
      <x:c r="AD57" s="82"/>
      <x:c r="AE57" s="82"/>
      <x:c r="AF57" s="80"/>
      <x:c r="AG57" s="83"/>
    </x:row>
    <x:row r="58">
      <x:c r="A58" s="80"/>
      <x:c r="B58" s="25"/>
      <x:c r="C58" s="25"/>
      <x:c r="D58" s="80"/>
      <x:c r="E58" s="25"/>
      <x:c r="F58" s="89"/>
      <x:c r="G58" s="89"/>
      <x:c r="H58" s="89"/>
      <x:c r="I58" s="91"/>
      <x:c r="J58" s="91"/>
      <x:c r="K58" s="91"/>
      <x:c r="L58" s="91"/>
      <x:c r="M58" s="91"/>
      <x:c r="N58" s="91"/>
      <x:c r="O58" s="91"/>
      <x:c r="P58" s="91"/>
      <x:c r="Q58" s="91"/>
      <x:c r="R58" s="91"/>
      <x:c r="S58" s="91"/>
      <x:c r="T58" s="91"/>
      <x:c r="U58" s="26"/>
      <x:c r="V58" s="90"/>
      <x:c r="W58" s="89"/>
      <x:c r="X58" s="91"/>
      <x:c r="Y58" s="91"/>
      <x:c r="Z58" s="89"/>
      <x:c r="AA58" s="27"/>
      <x:c r="AB58" s="93"/>
      <x:c r="AC58" s="83"/>
      <x:c r="AD58" s="82"/>
      <x:c r="AE58" s="82"/>
      <x:c r="AF58" s="80"/>
      <x:c r="AG58" s="83"/>
    </x:row>
    <x:row r="59">
      <x:c r="A59" s="80"/>
      <x:c r="B59" s="25"/>
      <x:c r="C59" s="25"/>
      <x:c r="D59" s="80"/>
      <x:c r="E59" s="25"/>
      <x:c r="F59" s="89"/>
      <x:c r="G59" s="89"/>
      <x:c r="H59" s="89"/>
      <x:c r="I59" s="91"/>
      <x:c r="J59" s="91"/>
      <x:c r="K59" s="91"/>
      <x:c r="L59" s="91"/>
      <x:c r="M59" s="91"/>
      <x:c r="N59" s="91"/>
      <x:c r="O59" s="91"/>
      <x:c r="P59" s="91"/>
      <x:c r="Q59" s="91"/>
      <x:c r="R59" s="91"/>
      <x:c r="S59" s="91"/>
      <x:c r="T59" s="91"/>
      <x:c r="U59" s="26"/>
      <x:c r="V59" s="90"/>
      <x:c r="W59" s="89"/>
      <x:c r="X59" s="91"/>
      <x:c r="Y59" s="91"/>
      <x:c r="Z59" s="89"/>
      <x:c r="AA59" s="27"/>
      <x:c r="AB59" s="93"/>
      <x:c r="AC59" s="83"/>
      <x:c r="AD59" s="82"/>
      <x:c r="AE59" s="82"/>
      <x:c r="AF59" s="80"/>
      <x:c r="AG59" s="83"/>
    </x:row>
    <x:row r="60">
      <x:c r="A60" s="80"/>
      <x:c r="B60" s="25"/>
      <x:c r="C60" s="25"/>
      <x:c r="D60" s="80"/>
      <x:c r="E60" s="25"/>
      <x:c r="F60" s="89"/>
      <x:c r="G60" s="89"/>
      <x:c r="H60" s="89"/>
      <x:c r="I60" s="91"/>
      <x:c r="J60" s="91"/>
      <x:c r="K60" s="91"/>
      <x:c r="L60" s="91"/>
      <x:c r="M60" s="91"/>
      <x:c r="N60" s="91"/>
      <x:c r="O60" s="91"/>
      <x:c r="P60" s="91"/>
      <x:c r="Q60" s="91"/>
      <x:c r="R60" s="91"/>
      <x:c r="S60" s="91"/>
      <x:c r="T60" s="91"/>
      <x:c r="U60" s="26"/>
      <x:c r="V60" s="90"/>
      <x:c r="W60" s="89"/>
      <x:c r="X60" s="91"/>
      <x:c r="Y60" s="91"/>
      <x:c r="Z60" s="89"/>
      <x:c r="AA60" s="27"/>
      <x:c r="AB60" s="93"/>
      <x:c r="AC60" s="83"/>
      <x:c r="AD60" s="82"/>
      <x:c r="AE60" s="82"/>
      <x:c r="AF60" s="80"/>
      <x:c r="AG60" s="83"/>
    </x:row>
    <x:row r="61">
      <x:c r="A61" s="80"/>
      <x:c r="B61" s="25"/>
      <x:c r="C61" s="25"/>
      <x:c r="D61" s="80"/>
      <x:c r="E61" s="25"/>
      <x:c r="F61" s="89"/>
      <x:c r="G61" s="89"/>
      <x:c r="H61" s="89"/>
      <x:c r="I61" s="91"/>
      <x:c r="J61" s="91"/>
      <x:c r="K61" s="91"/>
      <x:c r="L61" s="91"/>
      <x:c r="M61" s="91"/>
      <x:c r="N61" s="91"/>
      <x:c r="O61" s="91"/>
      <x:c r="P61" s="91"/>
      <x:c r="Q61" s="91"/>
      <x:c r="R61" s="91"/>
      <x:c r="S61" s="91"/>
      <x:c r="T61" s="91"/>
      <x:c r="U61" s="26"/>
      <x:c r="V61" s="90"/>
      <x:c r="W61" s="89"/>
      <x:c r="X61" s="91"/>
      <x:c r="Y61" s="91"/>
      <x:c r="Z61" s="89"/>
      <x:c r="AA61" s="27"/>
      <x:c r="AB61" s="93"/>
      <x:c r="AC61" s="83"/>
      <x:c r="AD61" s="82"/>
      <x:c r="AE61" s="82"/>
      <x:c r="AF61" s="80"/>
      <x:c r="AG61" s="83"/>
    </x:row>
    <x:row r="62">
      <x:c r="A62" s="80"/>
      <x:c r="B62" s="25"/>
      <x:c r="C62" s="25"/>
      <x:c r="D62" s="80"/>
      <x:c r="E62" s="25"/>
      <x:c r="F62" s="89"/>
      <x:c r="G62" s="89"/>
      <x:c r="H62" s="89"/>
      <x:c r="I62" s="91"/>
      <x:c r="J62" s="91"/>
      <x:c r="K62" s="91"/>
      <x:c r="L62" s="91"/>
      <x:c r="M62" s="91"/>
      <x:c r="N62" s="91"/>
      <x:c r="O62" s="91"/>
      <x:c r="P62" s="91"/>
      <x:c r="Q62" s="91"/>
      <x:c r="R62" s="91"/>
      <x:c r="S62" s="91"/>
      <x:c r="T62" s="91"/>
      <x:c r="U62" s="26"/>
      <x:c r="V62" s="90"/>
      <x:c r="W62" s="89"/>
      <x:c r="X62" s="91"/>
      <x:c r="Y62" s="91"/>
      <x:c r="Z62" s="89"/>
      <x:c r="AA62" s="27"/>
      <x:c r="AB62" s="93"/>
      <x:c r="AC62" s="83"/>
      <x:c r="AD62" s="82"/>
      <x:c r="AE62" s="82"/>
      <x:c r="AF62" s="80"/>
      <x:c r="AG62" s="83"/>
    </x:row>
    <x:row r="63">
      <x:c r="A63" s="80"/>
      <x:c r="B63" s="25"/>
      <x:c r="C63" s="25"/>
      <x:c r="D63" s="80"/>
      <x:c r="E63" s="25"/>
      <x:c r="F63" s="89"/>
      <x:c r="G63" s="89"/>
      <x:c r="H63" s="89"/>
      <x:c r="I63" s="91"/>
      <x:c r="J63" s="91"/>
      <x:c r="K63" s="91"/>
      <x:c r="L63" s="91"/>
      <x:c r="M63" s="91"/>
      <x:c r="N63" s="91"/>
      <x:c r="O63" s="91"/>
      <x:c r="P63" s="91"/>
      <x:c r="Q63" s="91"/>
      <x:c r="R63" s="91"/>
      <x:c r="S63" s="91"/>
      <x:c r="T63" s="91"/>
      <x:c r="U63" s="26"/>
      <x:c r="V63" s="90"/>
      <x:c r="W63" s="89"/>
      <x:c r="X63" s="91"/>
      <x:c r="Y63" s="91"/>
      <x:c r="Z63" s="89"/>
      <x:c r="AA63" s="27"/>
      <x:c r="AB63" s="93"/>
      <x:c r="AC63" s="83"/>
      <x:c r="AD63" s="82"/>
      <x:c r="AE63" s="82"/>
      <x:c r="AF63" s="80"/>
      <x:c r="AG63" s="83"/>
    </x:row>
    <x:row r="64">
      <x:c r="A64" s="80"/>
      <x:c r="B64" s="25"/>
      <x:c r="C64" s="25"/>
      <x:c r="D64" s="80"/>
      <x:c r="E64" s="25"/>
      <x:c r="F64" s="89"/>
      <x:c r="G64" s="89"/>
      <x:c r="H64" s="89"/>
      <x:c r="I64" s="91"/>
      <x:c r="J64" s="91"/>
      <x:c r="K64" s="91"/>
      <x:c r="L64" s="91"/>
      <x:c r="M64" s="91"/>
      <x:c r="N64" s="91"/>
      <x:c r="O64" s="91"/>
      <x:c r="P64" s="91"/>
      <x:c r="Q64" s="91"/>
      <x:c r="R64" s="91"/>
      <x:c r="S64" s="91"/>
      <x:c r="T64" s="91"/>
      <x:c r="U64" s="26"/>
      <x:c r="V64" s="90"/>
      <x:c r="W64" s="89"/>
      <x:c r="X64" s="91"/>
      <x:c r="Y64" s="91"/>
      <x:c r="Z64" s="89"/>
      <x:c r="AA64" s="27"/>
      <x:c r="AB64" s="93"/>
      <x:c r="AC64" s="83"/>
      <x:c r="AD64" s="82"/>
      <x:c r="AE64" s="82"/>
      <x:c r="AF64" s="80"/>
      <x:c r="AG64" s="83"/>
    </x:row>
    <x:row r="65">
      <x:c r="A65" s="80"/>
      <x:c r="B65" s="25"/>
      <x:c r="C65" s="25"/>
      <x:c r="D65" s="80"/>
      <x:c r="E65" s="25"/>
      <x:c r="F65" s="89"/>
      <x:c r="G65" s="89"/>
      <x:c r="H65" s="89"/>
      <x:c r="I65" s="91"/>
      <x:c r="J65" s="91"/>
      <x:c r="K65" s="91"/>
      <x:c r="L65" s="91"/>
      <x:c r="M65" s="91"/>
      <x:c r="N65" s="91"/>
      <x:c r="O65" s="91"/>
      <x:c r="P65" s="91"/>
      <x:c r="Q65" s="91"/>
      <x:c r="R65" s="91"/>
      <x:c r="S65" s="91"/>
      <x:c r="T65" s="91"/>
      <x:c r="U65" s="26"/>
      <x:c r="V65" s="90"/>
      <x:c r="W65" s="89"/>
      <x:c r="X65" s="91"/>
      <x:c r="Y65" s="91"/>
      <x:c r="Z65" s="89"/>
      <x:c r="AA65" s="27"/>
      <x:c r="AB65" s="93"/>
      <x:c r="AC65" s="83"/>
      <x:c r="AD65" s="82"/>
      <x:c r="AE65" s="82"/>
      <x:c r="AF65" s="80"/>
      <x:c r="AG65" s="83"/>
    </x:row>
    <x:row r="66">
      <x:c r="A66" s="80"/>
      <x:c r="B66" s="25"/>
      <x:c r="C66" s="25"/>
      <x:c r="D66" s="80"/>
      <x:c r="E66" s="25"/>
      <x:c r="F66" s="89"/>
      <x:c r="G66" s="89"/>
      <x:c r="H66" s="89"/>
      <x:c r="I66" s="91"/>
      <x:c r="J66" s="91"/>
      <x:c r="K66" s="91"/>
      <x:c r="L66" s="91"/>
      <x:c r="M66" s="91"/>
      <x:c r="N66" s="91"/>
      <x:c r="O66" s="91"/>
      <x:c r="P66" s="91"/>
      <x:c r="Q66" s="91"/>
      <x:c r="R66" s="91"/>
      <x:c r="S66" s="91"/>
      <x:c r="T66" s="91"/>
      <x:c r="U66" s="26"/>
      <x:c r="V66" s="90"/>
      <x:c r="W66" s="89"/>
      <x:c r="X66" s="91"/>
      <x:c r="Y66" s="91"/>
      <x:c r="Z66" s="89"/>
      <x:c r="AA66" s="27"/>
      <x:c r="AB66" s="93"/>
      <x:c r="AC66" s="83"/>
      <x:c r="AD66" s="82"/>
      <x:c r="AE66" s="82"/>
      <x:c r="AF66" s="80"/>
      <x:c r="AG66" s="83"/>
    </x:row>
    <x:row r="67">
      <x:c r="A67" s="80"/>
      <x:c r="B67" s="25"/>
      <x:c r="C67" s="25"/>
      <x:c r="D67" s="80"/>
      <x:c r="E67" s="25"/>
      <x:c r="F67" s="89"/>
      <x:c r="G67" s="89"/>
      <x:c r="H67" s="89"/>
      <x:c r="I67" s="91"/>
      <x:c r="J67" s="91"/>
      <x:c r="K67" s="91"/>
      <x:c r="L67" s="91"/>
      <x:c r="M67" s="91"/>
      <x:c r="N67" s="91"/>
      <x:c r="O67" s="91"/>
      <x:c r="P67" s="91"/>
      <x:c r="Q67" s="91"/>
      <x:c r="R67" s="91"/>
      <x:c r="S67" s="91"/>
      <x:c r="T67" s="91"/>
      <x:c r="U67" s="26"/>
      <x:c r="V67" s="90"/>
      <x:c r="W67" s="89"/>
      <x:c r="X67" s="91"/>
      <x:c r="Y67" s="91"/>
      <x:c r="Z67" s="89"/>
      <x:c r="AA67" s="27"/>
      <x:c r="AB67" s="93"/>
      <x:c r="AC67" s="83"/>
      <x:c r="AD67" s="82"/>
      <x:c r="AE67" s="82"/>
      <x:c r="AF67" s="80"/>
      <x:c r="AG67" s="83"/>
    </x:row>
    <x:row r="68">
      <x:c r="A68" s="80"/>
      <x:c r="B68" s="25"/>
      <x:c r="C68" s="25"/>
      <x:c r="D68" s="80"/>
      <x:c r="E68" s="25"/>
      <x:c r="F68" s="89"/>
      <x:c r="G68" s="89"/>
      <x:c r="H68" s="89"/>
      <x:c r="I68" s="91"/>
      <x:c r="J68" s="91"/>
      <x:c r="K68" s="91"/>
      <x:c r="L68" s="91"/>
      <x:c r="M68" s="91"/>
      <x:c r="N68" s="91"/>
      <x:c r="O68" s="91"/>
      <x:c r="P68" s="91"/>
      <x:c r="Q68" s="91"/>
      <x:c r="R68" s="91"/>
      <x:c r="S68" s="91"/>
      <x:c r="T68" s="91"/>
      <x:c r="U68" s="26"/>
      <x:c r="V68" s="90"/>
      <x:c r="W68" s="89"/>
      <x:c r="X68" s="91"/>
      <x:c r="Y68" s="91"/>
      <x:c r="Z68" s="89"/>
      <x:c r="AA68" s="27"/>
      <x:c r="AB68" s="93"/>
      <x:c r="AC68" s="83"/>
      <x:c r="AD68" s="82"/>
      <x:c r="AE68" s="82"/>
      <x:c r="AF68" s="80"/>
      <x:c r="AG68" s="83"/>
    </x:row>
    <x:row r="69">
      <x:c r="A69" s="80"/>
      <x:c r="B69" s="25"/>
      <x:c r="C69" s="25"/>
      <x:c r="D69" s="80"/>
      <x:c r="E69" s="25"/>
      <x:c r="F69" s="89"/>
      <x:c r="G69" s="89"/>
      <x:c r="H69" s="89"/>
      <x:c r="I69" s="91"/>
      <x:c r="J69" s="91"/>
      <x:c r="K69" s="91"/>
      <x:c r="L69" s="91"/>
      <x:c r="M69" s="91"/>
      <x:c r="N69" s="91"/>
      <x:c r="O69" s="91"/>
      <x:c r="P69" s="91"/>
      <x:c r="Q69" s="91"/>
      <x:c r="R69" s="91"/>
      <x:c r="S69" s="91"/>
      <x:c r="T69" s="91"/>
      <x:c r="U69" s="26"/>
      <x:c r="V69" s="90"/>
      <x:c r="W69" s="89"/>
      <x:c r="X69" s="91"/>
      <x:c r="Y69" s="91"/>
      <x:c r="Z69" s="89"/>
      <x:c r="AA69" s="27"/>
      <x:c r="AB69" s="93"/>
      <x:c r="AC69" s="83"/>
      <x:c r="AD69" s="82"/>
      <x:c r="AE69" s="82"/>
      <x:c r="AF69" s="80"/>
      <x:c r="AG69" s="83"/>
    </x:row>
    <x:row r="70">
      <x:c r="A70" s="80"/>
      <x:c r="B70" s="25"/>
      <x:c r="C70" s="25"/>
      <x:c r="D70" s="80"/>
      <x:c r="E70" s="25"/>
      <x:c r="F70" s="89"/>
      <x:c r="G70" s="89"/>
      <x:c r="H70" s="89"/>
      <x:c r="I70" s="91"/>
      <x:c r="J70" s="91"/>
      <x:c r="K70" s="91"/>
      <x:c r="L70" s="91"/>
      <x:c r="M70" s="91"/>
      <x:c r="N70" s="91"/>
      <x:c r="O70" s="91"/>
      <x:c r="P70" s="91"/>
      <x:c r="Q70" s="91"/>
      <x:c r="R70" s="91"/>
      <x:c r="S70" s="91"/>
      <x:c r="T70" s="91"/>
      <x:c r="U70" s="26"/>
      <x:c r="V70" s="90"/>
      <x:c r="W70" s="89"/>
      <x:c r="X70" s="91"/>
      <x:c r="Y70" s="91"/>
      <x:c r="Z70" s="89"/>
      <x:c r="AA70" s="27"/>
      <x:c r="AB70" s="93"/>
      <x:c r="AC70" s="83"/>
      <x:c r="AD70" s="82"/>
      <x:c r="AE70" s="82"/>
      <x:c r="AF70" s="80"/>
      <x:c r="AG70" s="83"/>
    </x:row>
    <x:row r="71">
      <x:c r="A71" s="80"/>
      <x:c r="B71" s="25"/>
      <x:c r="C71" s="25"/>
      <x:c r="D71" s="80"/>
      <x:c r="E71" s="25"/>
      <x:c r="F71" s="89"/>
      <x:c r="G71" s="89"/>
      <x:c r="H71" s="89"/>
      <x:c r="I71" s="91"/>
      <x:c r="J71" s="91"/>
      <x:c r="K71" s="91"/>
      <x:c r="L71" s="91"/>
      <x:c r="M71" s="91"/>
      <x:c r="N71" s="91"/>
      <x:c r="O71" s="91"/>
      <x:c r="P71" s="91"/>
      <x:c r="Q71" s="91"/>
      <x:c r="R71" s="91"/>
      <x:c r="S71" s="91"/>
      <x:c r="T71" s="91"/>
      <x:c r="U71" s="26"/>
      <x:c r="V71" s="90"/>
      <x:c r="W71" s="89"/>
      <x:c r="X71" s="91"/>
      <x:c r="Y71" s="91"/>
      <x:c r="Z71" s="89"/>
      <x:c r="AA71" s="27"/>
      <x:c r="AB71" s="93"/>
      <x:c r="AC71" s="83"/>
      <x:c r="AD71" s="82"/>
      <x:c r="AE71" s="82"/>
      <x:c r="AF71" s="80"/>
      <x:c r="AG71" s="83"/>
    </x:row>
    <x:row r="72">
      <x:c r="A72" s="80"/>
      <x:c r="B72" s="25"/>
      <x:c r="C72" s="25"/>
      <x:c r="D72" s="80"/>
      <x:c r="E72" s="25"/>
      <x:c r="F72" s="89"/>
      <x:c r="G72" s="89"/>
      <x:c r="H72" s="89"/>
      <x:c r="I72" s="91"/>
      <x:c r="J72" s="91"/>
      <x:c r="K72" s="91"/>
      <x:c r="L72" s="91"/>
      <x:c r="M72" s="91"/>
      <x:c r="N72" s="91"/>
      <x:c r="O72" s="91"/>
      <x:c r="P72" s="91"/>
      <x:c r="Q72" s="91"/>
      <x:c r="R72" s="91"/>
      <x:c r="S72" s="91"/>
      <x:c r="T72" s="91"/>
      <x:c r="U72" s="26"/>
      <x:c r="V72" s="90"/>
      <x:c r="W72" s="89"/>
      <x:c r="X72" s="91"/>
      <x:c r="Y72" s="91"/>
      <x:c r="Z72" s="89"/>
      <x:c r="AA72" s="27"/>
      <x:c r="AB72" s="93"/>
      <x:c r="AC72" s="83"/>
      <x:c r="AD72" s="82"/>
      <x:c r="AE72" s="82"/>
      <x:c r="AF72" s="80"/>
      <x:c r="AG72" s="83"/>
    </x:row>
    <x:row r="73">
      <x:c r="A73" s="80"/>
      <x:c r="B73" s="25"/>
      <x:c r="C73" s="25"/>
      <x:c r="D73" s="80"/>
      <x:c r="E73" s="25"/>
      <x:c r="F73" s="89"/>
      <x:c r="G73" s="89"/>
      <x:c r="H73" s="89"/>
      <x:c r="I73" s="91"/>
      <x:c r="J73" s="91"/>
      <x:c r="K73" s="91"/>
      <x:c r="L73" s="91"/>
      <x:c r="M73" s="91"/>
      <x:c r="N73" s="91"/>
      <x:c r="O73" s="91"/>
      <x:c r="P73" s="91"/>
      <x:c r="Q73" s="91"/>
      <x:c r="R73" s="91"/>
      <x:c r="S73" s="91"/>
      <x:c r="T73" s="91"/>
      <x:c r="U73" s="26"/>
      <x:c r="V73" s="90"/>
      <x:c r="W73" s="89"/>
      <x:c r="X73" s="91"/>
      <x:c r="Y73" s="91"/>
      <x:c r="Z73" s="89"/>
      <x:c r="AA73" s="27"/>
      <x:c r="AB73" s="93"/>
      <x:c r="AC73" s="83"/>
      <x:c r="AD73" s="82"/>
      <x:c r="AE73" s="82"/>
      <x:c r="AF73" s="80"/>
      <x:c r="AG73" s="83"/>
    </x:row>
    <x:row r="74">
      <x:c r="A74" s="80"/>
      <x:c r="B74" s="25"/>
      <x:c r="C74" s="25"/>
      <x:c r="D74" s="80"/>
      <x:c r="E74" s="25"/>
      <x:c r="F74" s="89"/>
      <x:c r="G74" s="89"/>
      <x:c r="H74" s="89"/>
      <x:c r="I74" s="91"/>
      <x:c r="J74" s="91"/>
      <x:c r="K74" s="91"/>
      <x:c r="L74" s="91"/>
      <x:c r="M74" s="91"/>
      <x:c r="N74" s="91"/>
      <x:c r="O74" s="91"/>
      <x:c r="P74" s="91"/>
      <x:c r="Q74" s="91"/>
      <x:c r="R74" s="91"/>
      <x:c r="S74" s="91"/>
      <x:c r="T74" s="91"/>
      <x:c r="U74" s="26"/>
      <x:c r="V74" s="90"/>
      <x:c r="W74" s="89"/>
      <x:c r="X74" s="91"/>
      <x:c r="Y74" s="91"/>
      <x:c r="Z74" s="89"/>
      <x:c r="AA74" s="27"/>
      <x:c r="AB74" s="93"/>
      <x:c r="AC74" s="83"/>
      <x:c r="AD74" s="82"/>
      <x:c r="AE74" s="82"/>
      <x:c r="AF74" s="80"/>
      <x:c r="AG74" s="83"/>
    </x:row>
    <x:row r="75">
      <x:c r="A75" s="80"/>
      <x:c r="B75" s="25"/>
      <x:c r="C75" s="25"/>
      <x:c r="D75" s="80"/>
      <x:c r="E75" s="25"/>
      <x:c r="F75" s="89"/>
      <x:c r="G75" s="89"/>
      <x:c r="H75" s="89"/>
      <x:c r="I75" s="91"/>
      <x:c r="J75" s="91"/>
      <x:c r="K75" s="91"/>
      <x:c r="L75" s="91"/>
      <x:c r="M75" s="91"/>
      <x:c r="N75" s="91"/>
      <x:c r="O75" s="91"/>
      <x:c r="P75" s="91"/>
      <x:c r="Q75" s="91"/>
      <x:c r="R75" s="91"/>
      <x:c r="S75" s="91"/>
      <x:c r="T75" s="91"/>
      <x:c r="U75" s="26"/>
      <x:c r="V75" s="90"/>
      <x:c r="W75" s="89"/>
      <x:c r="X75" s="91"/>
      <x:c r="Y75" s="91"/>
      <x:c r="Z75" s="89"/>
      <x:c r="AA75" s="27"/>
      <x:c r="AB75" s="93"/>
      <x:c r="AC75" s="83"/>
      <x:c r="AD75" s="82"/>
      <x:c r="AE75" s="82"/>
      <x:c r="AF75" s="80"/>
      <x:c r="AG75" s="83"/>
    </x:row>
    <x:row r="76">
      <x:c r="A76" s="80"/>
      <x:c r="B76" s="25"/>
      <x:c r="C76" s="25"/>
      <x:c r="D76" s="80"/>
      <x:c r="E76" s="25"/>
      <x:c r="F76" s="89"/>
      <x:c r="G76" s="89"/>
      <x:c r="H76" s="89"/>
      <x:c r="I76" s="91"/>
      <x:c r="J76" s="91"/>
      <x:c r="K76" s="91"/>
      <x:c r="L76" s="91"/>
      <x:c r="M76" s="91"/>
      <x:c r="N76" s="91"/>
      <x:c r="O76" s="91"/>
      <x:c r="P76" s="91"/>
      <x:c r="Q76" s="91"/>
      <x:c r="R76" s="91"/>
      <x:c r="S76" s="91"/>
      <x:c r="T76" s="91"/>
      <x:c r="U76" s="26"/>
      <x:c r="V76" s="90"/>
      <x:c r="W76" s="89"/>
      <x:c r="X76" s="91"/>
      <x:c r="Y76" s="91"/>
      <x:c r="Z76" s="89"/>
      <x:c r="AA76" s="27"/>
      <x:c r="AB76" s="93"/>
      <x:c r="AC76" s="83"/>
      <x:c r="AD76" s="82"/>
      <x:c r="AE76" s="82"/>
      <x:c r="AF76" s="80"/>
      <x:c r="AG76" s="83"/>
    </x:row>
    <x:row r="77">
      <x:c r="A77" s="80"/>
      <x:c r="B77" s="25"/>
      <x:c r="C77" s="25"/>
      <x:c r="D77" s="80"/>
      <x:c r="E77" s="25"/>
      <x:c r="F77" s="89"/>
      <x:c r="G77" s="89"/>
      <x:c r="H77" s="89"/>
      <x:c r="I77" s="91"/>
      <x:c r="J77" s="91"/>
      <x:c r="K77" s="91"/>
      <x:c r="L77" s="91"/>
      <x:c r="M77" s="91"/>
      <x:c r="N77" s="91"/>
      <x:c r="O77" s="91"/>
      <x:c r="P77" s="91"/>
      <x:c r="Q77" s="91"/>
      <x:c r="R77" s="91"/>
      <x:c r="S77" s="91"/>
      <x:c r="T77" s="91"/>
      <x:c r="U77" s="26"/>
      <x:c r="V77" s="90"/>
      <x:c r="W77" s="89"/>
      <x:c r="X77" s="91"/>
      <x:c r="Y77" s="91"/>
      <x:c r="Z77" s="89"/>
      <x:c r="AA77" s="27"/>
      <x:c r="AB77" s="93"/>
      <x:c r="AC77" s="83"/>
      <x:c r="AD77" s="82"/>
      <x:c r="AE77" s="82"/>
      <x:c r="AF77" s="80"/>
      <x:c r="AG77" s="83"/>
    </x:row>
    <x:row r="78">
      <x:c r="A78" s="80"/>
      <x:c r="B78" s="25"/>
      <x:c r="C78" s="25"/>
      <x:c r="D78" s="80"/>
      <x:c r="E78" s="25"/>
      <x:c r="F78" s="89"/>
      <x:c r="G78" s="89"/>
      <x:c r="H78" s="89"/>
      <x:c r="I78" s="91"/>
      <x:c r="J78" s="91"/>
      <x:c r="K78" s="91"/>
      <x:c r="L78" s="91"/>
      <x:c r="M78" s="91"/>
      <x:c r="N78" s="91"/>
      <x:c r="O78" s="91"/>
      <x:c r="P78" s="91"/>
      <x:c r="Q78" s="91"/>
      <x:c r="R78" s="91"/>
      <x:c r="S78" s="91"/>
      <x:c r="T78" s="91"/>
      <x:c r="U78" s="26"/>
      <x:c r="V78" s="90"/>
      <x:c r="W78" s="89"/>
      <x:c r="X78" s="91"/>
      <x:c r="Y78" s="91"/>
      <x:c r="Z78" s="89"/>
      <x:c r="AA78" s="27"/>
      <x:c r="AB78" s="93"/>
      <x:c r="AC78" s="83"/>
      <x:c r="AD78" s="82"/>
      <x:c r="AE78" s="82"/>
      <x:c r="AF78" s="80"/>
      <x:c r="AG78" s="83"/>
    </x:row>
    <x:row r="79">
      <x:c r="A79" s="80"/>
      <x:c r="B79" s="25"/>
      <x:c r="C79" s="25"/>
      <x:c r="D79" s="80"/>
      <x:c r="E79" s="25"/>
      <x:c r="F79" s="89"/>
      <x:c r="G79" s="89"/>
      <x:c r="H79" s="89"/>
      <x:c r="I79" s="91"/>
      <x:c r="J79" s="91"/>
      <x:c r="K79" s="91"/>
      <x:c r="L79" s="91"/>
      <x:c r="M79" s="91"/>
      <x:c r="N79" s="91"/>
      <x:c r="O79" s="91"/>
      <x:c r="P79" s="91"/>
      <x:c r="Q79" s="91"/>
      <x:c r="R79" s="91"/>
      <x:c r="S79" s="91"/>
      <x:c r="T79" s="91"/>
      <x:c r="U79" s="26"/>
      <x:c r="V79" s="90"/>
      <x:c r="W79" s="89"/>
      <x:c r="X79" s="91"/>
      <x:c r="Y79" s="91"/>
      <x:c r="Z79" s="89"/>
      <x:c r="AA79" s="27"/>
      <x:c r="AB79" s="93"/>
      <x:c r="AC79" s="83"/>
      <x:c r="AD79" s="82"/>
      <x:c r="AE79" s="82"/>
      <x:c r="AF79" s="80"/>
      <x:c r="AG79" s="83"/>
    </x:row>
    <x:row r="80">
      <x:c r="A80" s="80"/>
      <x:c r="B80" s="25"/>
      <x:c r="C80" s="25"/>
      <x:c r="D80" s="80"/>
      <x:c r="E80" s="25"/>
      <x:c r="F80" s="89"/>
      <x:c r="G80" s="89"/>
      <x:c r="H80" s="89"/>
      <x:c r="I80" s="91"/>
      <x:c r="J80" s="91"/>
      <x:c r="K80" s="91"/>
      <x:c r="L80" s="91"/>
      <x:c r="M80" s="91"/>
      <x:c r="N80" s="91"/>
      <x:c r="O80" s="91"/>
      <x:c r="P80" s="91"/>
      <x:c r="Q80" s="91"/>
      <x:c r="R80" s="91"/>
      <x:c r="S80" s="91"/>
      <x:c r="T80" s="91"/>
      <x:c r="U80" s="26"/>
      <x:c r="V80" s="90"/>
      <x:c r="W80" s="89"/>
      <x:c r="X80" s="91"/>
      <x:c r="Y80" s="91"/>
      <x:c r="Z80" s="89"/>
      <x:c r="AA80" s="27"/>
      <x:c r="AB80" s="93"/>
      <x:c r="AC80" s="83"/>
      <x:c r="AD80" s="82"/>
      <x:c r="AE80" s="82"/>
      <x:c r="AF80" s="80"/>
      <x:c r="AG80" s="83"/>
    </x:row>
    <x:row r="81">
      <x:c r="A81" s="80"/>
      <x:c r="B81" s="25"/>
      <x:c r="C81" s="25"/>
      <x:c r="D81" s="80"/>
      <x:c r="E81" s="25"/>
      <x:c r="F81" s="89"/>
      <x:c r="G81" s="89"/>
      <x:c r="H81" s="89"/>
      <x:c r="I81" s="91"/>
      <x:c r="J81" s="91"/>
      <x:c r="K81" s="91"/>
      <x:c r="L81" s="91"/>
      <x:c r="M81" s="91"/>
      <x:c r="N81" s="91"/>
      <x:c r="O81" s="91"/>
      <x:c r="P81" s="91"/>
      <x:c r="Q81" s="91"/>
      <x:c r="R81" s="91"/>
      <x:c r="S81" s="91"/>
      <x:c r="T81" s="91"/>
      <x:c r="U81" s="26"/>
      <x:c r="V81" s="90"/>
      <x:c r="W81" s="89"/>
      <x:c r="X81" s="91"/>
      <x:c r="Y81" s="91"/>
      <x:c r="Z81" s="89"/>
      <x:c r="AA81" s="27"/>
      <x:c r="AB81" s="93"/>
      <x:c r="AC81" s="83"/>
      <x:c r="AD81" s="82"/>
      <x:c r="AE81" s="82"/>
      <x:c r="AF81" s="80"/>
      <x:c r="AG81" s="83"/>
    </x:row>
    <x:row r="82">
      <x:c r="A82" s="80"/>
      <x:c r="B82" s="25"/>
      <x:c r="C82" s="25"/>
      <x:c r="D82" s="80"/>
      <x:c r="E82" s="25"/>
      <x:c r="F82" s="89"/>
      <x:c r="G82" s="89"/>
      <x:c r="H82" s="89"/>
      <x:c r="I82" s="91"/>
      <x:c r="J82" s="91"/>
      <x:c r="K82" s="91"/>
      <x:c r="L82" s="91"/>
      <x:c r="M82" s="91"/>
      <x:c r="N82" s="91"/>
      <x:c r="O82" s="91"/>
      <x:c r="P82" s="91"/>
      <x:c r="Q82" s="91"/>
      <x:c r="R82" s="91"/>
      <x:c r="S82" s="91"/>
      <x:c r="T82" s="91"/>
      <x:c r="U82" s="26"/>
      <x:c r="V82" s="90"/>
      <x:c r="W82" s="89"/>
      <x:c r="X82" s="91"/>
      <x:c r="Y82" s="91"/>
      <x:c r="Z82" s="89"/>
      <x:c r="AA82" s="27"/>
      <x:c r="AB82" s="93"/>
      <x:c r="AC82" s="83"/>
      <x:c r="AD82" s="82"/>
      <x:c r="AE82" s="82"/>
      <x:c r="AF82" s="80"/>
      <x:c r="AG82" s="83"/>
    </x:row>
    <x:row r="83">
      <x:c r="A83" s="80"/>
      <x:c r="B83" s="25"/>
      <x:c r="C83" s="25"/>
      <x:c r="D83" s="80"/>
      <x:c r="E83" s="25"/>
      <x:c r="F83" s="89"/>
      <x:c r="G83" s="89"/>
      <x:c r="H83" s="89"/>
      <x:c r="I83" s="91"/>
      <x:c r="J83" s="91"/>
      <x:c r="K83" s="91"/>
      <x:c r="L83" s="91"/>
      <x:c r="M83" s="91"/>
      <x:c r="N83" s="91"/>
      <x:c r="O83" s="91"/>
      <x:c r="P83" s="91"/>
      <x:c r="Q83" s="91"/>
      <x:c r="R83" s="91"/>
      <x:c r="S83" s="91"/>
      <x:c r="T83" s="91"/>
      <x:c r="U83" s="26"/>
      <x:c r="V83" s="90"/>
      <x:c r="W83" s="89"/>
      <x:c r="X83" s="91"/>
      <x:c r="Y83" s="91"/>
      <x:c r="Z83" s="89"/>
      <x:c r="AA83" s="27"/>
      <x:c r="AB83" s="93"/>
      <x:c r="AC83" s="83"/>
      <x:c r="AD83" s="82"/>
      <x:c r="AE83" s="82"/>
      <x:c r="AF83" s="80"/>
      <x:c r="AG83" s="83"/>
    </x:row>
    <x:row r="84">
      <x:c r="A84" s="80"/>
      <x:c r="B84" s="25"/>
      <x:c r="C84" s="25"/>
      <x:c r="D84" s="80"/>
      <x:c r="E84" s="25"/>
      <x:c r="F84" s="89"/>
      <x:c r="G84" s="89"/>
      <x:c r="H84" s="89"/>
      <x:c r="I84" s="91"/>
      <x:c r="J84" s="91"/>
      <x:c r="K84" s="91"/>
      <x:c r="L84" s="91"/>
      <x:c r="M84" s="91"/>
      <x:c r="N84" s="91"/>
      <x:c r="O84" s="91"/>
      <x:c r="P84" s="91"/>
      <x:c r="Q84" s="91"/>
      <x:c r="R84" s="91"/>
      <x:c r="S84" s="91"/>
      <x:c r="T84" s="91"/>
      <x:c r="U84" s="26"/>
      <x:c r="V84" s="90"/>
      <x:c r="W84" s="89"/>
      <x:c r="X84" s="91"/>
      <x:c r="Y84" s="91"/>
      <x:c r="Z84" s="89"/>
      <x:c r="AA84" s="27"/>
      <x:c r="AB84" s="93"/>
      <x:c r="AC84" s="83"/>
      <x:c r="AD84" s="82"/>
      <x:c r="AE84" s="82"/>
      <x:c r="AF84" s="80"/>
      <x:c r="AG84" s="83"/>
    </x:row>
    <x:row r="85">
      <x:c r="A85" s="80"/>
      <x:c r="B85" s="25"/>
      <x:c r="C85" s="25"/>
      <x:c r="D85" s="80"/>
      <x:c r="E85" s="25"/>
      <x:c r="F85" s="89"/>
      <x:c r="G85" s="89"/>
      <x:c r="H85" s="89"/>
      <x:c r="I85" s="91"/>
      <x:c r="J85" s="91"/>
      <x:c r="K85" s="91"/>
      <x:c r="L85" s="91"/>
      <x:c r="M85" s="91"/>
      <x:c r="N85" s="91"/>
      <x:c r="O85" s="91"/>
      <x:c r="P85" s="91"/>
      <x:c r="Q85" s="91"/>
      <x:c r="R85" s="91"/>
      <x:c r="S85" s="91"/>
      <x:c r="T85" s="91"/>
      <x:c r="U85" s="26"/>
      <x:c r="V85" s="90"/>
      <x:c r="W85" s="89"/>
      <x:c r="X85" s="91"/>
      <x:c r="Y85" s="91"/>
      <x:c r="Z85" s="89"/>
      <x:c r="AA85" s="27"/>
      <x:c r="AB85" s="93"/>
      <x:c r="AC85" s="83"/>
      <x:c r="AD85" s="82"/>
      <x:c r="AE85" s="82"/>
      <x:c r="AF85" s="80"/>
      <x:c r="AG85" s="83"/>
    </x:row>
    <x:row r="86">
      <x:c r="A86" s="80"/>
      <x:c r="B86" s="25"/>
      <x:c r="C86" s="25"/>
      <x:c r="D86" s="80"/>
      <x:c r="E86" s="25"/>
      <x:c r="F86" s="89"/>
      <x:c r="G86" s="89"/>
      <x:c r="H86" s="89"/>
      <x:c r="I86" s="91"/>
      <x:c r="J86" s="91"/>
      <x:c r="K86" s="91"/>
      <x:c r="L86" s="91"/>
      <x:c r="M86" s="91"/>
      <x:c r="N86" s="91"/>
      <x:c r="O86" s="91"/>
      <x:c r="P86" s="91"/>
      <x:c r="Q86" s="91"/>
      <x:c r="R86" s="91"/>
      <x:c r="S86" s="91"/>
      <x:c r="T86" s="91"/>
      <x:c r="U86" s="26"/>
      <x:c r="V86" s="90"/>
      <x:c r="W86" s="89"/>
      <x:c r="X86" s="91"/>
      <x:c r="Y86" s="91"/>
      <x:c r="Z86" s="89"/>
      <x:c r="AA86" s="27"/>
      <x:c r="AB86" s="93"/>
      <x:c r="AC86" s="83"/>
      <x:c r="AD86" s="82"/>
      <x:c r="AE86" s="82"/>
      <x:c r="AF86" s="80"/>
      <x:c r="AG86" s="83"/>
    </x:row>
    <x:row r="87">
      <x:c r="A87" s="80"/>
      <x:c r="B87" s="25"/>
      <x:c r="C87" s="25"/>
      <x:c r="D87" s="80"/>
      <x:c r="E87" s="25"/>
      <x:c r="F87" s="89"/>
      <x:c r="G87" s="89"/>
      <x:c r="H87" s="89"/>
      <x:c r="I87" s="91"/>
      <x:c r="J87" s="91"/>
      <x:c r="K87" s="91"/>
      <x:c r="L87" s="91"/>
      <x:c r="M87" s="91"/>
      <x:c r="N87" s="91"/>
      <x:c r="O87" s="91"/>
      <x:c r="P87" s="91"/>
      <x:c r="Q87" s="91"/>
      <x:c r="R87" s="91"/>
      <x:c r="S87" s="91"/>
      <x:c r="T87" s="91"/>
      <x:c r="U87" s="26"/>
      <x:c r="V87" s="90"/>
      <x:c r="W87" s="89"/>
      <x:c r="X87" s="91"/>
      <x:c r="Y87" s="91"/>
      <x:c r="Z87" s="89"/>
      <x:c r="AA87" s="27"/>
      <x:c r="AB87" s="93"/>
      <x:c r="AC87" s="83"/>
      <x:c r="AD87" s="82"/>
      <x:c r="AE87" s="82"/>
      <x:c r="AF87" s="80"/>
      <x:c r="AG87" s="83"/>
    </x:row>
    <x:row r="88">
      <x:c r="A88" s="80"/>
      <x:c r="B88" s="25"/>
      <x:c r="C88" s="25"/>
      <x:c r="D88" s="80"/>
      <x:c r="E88" s="25"/>
      <x:c r="F88" s="89"/>
      <x:c r="G88" s="89"/>
      <x:c r="H88" s="89"/>
      <x:c r="I88" s="91"/>
      <x:c r="J88" s="91"/>
      <x:c r="K88" s="91"/>
      <x:c r="L88" s="91"/>
      <x:c r="M88" s="91"/>
      <x:c r="N88" s="91"/>
      <x:c r="O88" s="91"/>
      <x:c r="P88" s="91"/>
      <x:c r="Q88" s="91"/>
      <x:c r="R88" s="91"/>
      <x:c r="S88" s="91"/>
      <x:c r="T88" s="91"/>
      <x:c r="U88" s="26"/>
      <x:c r="V88" s="90"/>
      <x:c r="W88" s="89"/>
      <x:c r="X88" s="91"/>
      <x:c r="Y88" s="91"/>
      <x:c r="Z88" s="89"/>
      <x:c r="AA88" s="27"/>
      <x:c r="AB88" s="93"/>
      <x:c r="AC88" s="83"/>
      <x:c r="AD88" s="82"/>
      <x:c r="AE88" s="82"/>
      <x:c r="AF88" s="80"/>
      <x:c r="AG88" s="83"/>
    </x:row>
    <x:row r="89">
      <x:c r="A89" s="80"/>
      <x:c r="B89" s="25"/>
      <x:c r="C89" s="25"/>
      <x:c r="D89" s="80"/>
      <x:c r="E89" s="25"/>
      <x:c r="F89" s="89"/>
      <x:c r="G89" s="89"/>
      <x:c r="H89" s="89"/>
      <x:c r="I89" s="91"/>
      <x:c r="J89" s="91"/>
      <x:c r="K89" s="91"/>
      <x:c r="L89" s="91"/>
      <x:c r="M89" s="91"/>
      <x:c r="N89" s="91"/>
      <x:c r="O89" s="91"/>
      <x:c r="P89" s="91"/>
      <x:c r="Q89" s="91"/>
      <x:c r="R89" s="91"/>
      <x:c r="S89" s="91"/>
      <x:c r="T89" s="91"/>
      <x:c r="U89" s="26"/>
      <x:c r="V89" s="90"/>
      <x:c r="W89" s="89"/>
      <x:c r="X89" s="91"/>
      <x:c r="Y89" s="91"/>
      <x:c r="Z89" s="89"/>
      <x:c r="AA89" s="27"/>
      <x:c r="AB89" s="93"/>
      <x:c r="AC89" s="83"/>
      <x:c r="AD89" s="82"/>
      <x:c r="AE89" s="82"/>
      <x:c r="AF89" s="80"/>
      <x:c r="AG89" s="83"/>
    </x:row>
    <x:row r="90">
      <x:c r="A90" s="80"/>
      <x:c r="B90" s="25"/>
      <x:c r="C90" s="25"/>
      <x:c r="D90" s="80"/>
      <x:c r="E90" s="25"/>
      <x:c r="F90" s="89"/>
      <x:c r="G90" s="89"/>
      <x:c r="H90" s="89"/>
      <x:c r="I90" s="91"/>
      <x:c r="J90" s="91"/>
      <x:c r="K90" s="91"/>
      <x:c r="L90" s="91"/>
      <x:c r="M90" s="91"/>
      <x:c r="N90" s="91"/>
      <x:c r="O90" s="91"/>
      <x:c r="P90" s="91"/>
      <x:c r="Q90" s="91"/>
      <x:c r="R90" s="91"/>
      <x:c r="S90" s="91"/>
      <x:c r="T90" s="91"/>
      <x:c r="U90" s="26"/>
      <x:c r="V90" s="90"/>
      <x:c r="W90" s="89"/>
      <x:c r="X90" s="91"/>
      <x:c r="Y90" s="91"/>
      <x:c r="Z90" s="89"/>
      <x:c r="AA90" s="27"/>
      <x:c r="AB90" s="93"/>
      <x:c r="AC90" s="83"/>
      <x:c r="AD90" s="82"/>
      <x:c r="AE90" s="82"/>
      <x:c r="AF90" s="80"/>
      <x:c r="AG90" s="83"/>
    </x:row>
    <x:row r="91">
      <x:c r="A91" s="80"/>
      <x:c r="B91" s="25"/>
      <x:c r="C91" s="25"/>
      <x:c r="D91" s="80"/>
      <x:c r="E91" s="25"/>
      <x:c r="F91" s="89"/>
      <x:c r="G91" s="89"/>
      <x:c r="H91" s="89"/>
      <x:c r="I91" s="91"/>
      <x:c r="J91" s="91"/>
      <x:c r="K91" s="91"/>
      <x:c r="L91" s="91"/>
      <x:c r="M91" s="91"/>
      <x:c r="N91" s="91"/>
      <x:c r="O91" s="91"/>
      <x:c r="P91" s="91"/>
      <x:c r="Q91" s="91"/>
      <x:c r="R91" s="91"/>
      <x:c r="S91" s="91"/>
      <x:c r="T91" s="91"/>
      <x:c r="U91" s="26"/>
      <x:c r="V91" s="90"/>
      <x:c r="W91" s="89"/>
      <x:c r="X91" s="91"/>
      <x:c r="Y91" s="91"/>
      <x:c r="Z91" s="89"/>
      <x:c r="AA91" s="27"/>
      <x:c r="AB91" s="93"/>
      <x:c r="AC91" s="83"/>
      <x:c r="AD91" s="82"/>
      <x:c r="AE91" s="82"/>
      <x:c r="AF91" s="80"/>
      <x:c r="AG91" s="83"/>
    </x:row>
    <x:row r="92">
      <x:c r="A92" s="80"/>
      <x:c r="B92" s="25"/>
      <x:c r="C92" s="25"/>
      <x:c r="D92" s="80"/>
      <x:c r="E92" s="25"/>
      <x:c r="F92" s="89"/>
      <x:c r="G92" s="89"/>
      <x:c r="H92" s="89"/>
      <x:c r="I92" s="91"/>
      <x:c r="J92" s="91"/>
      <x:c r="K92" s="91"/>
      <x:c r="L92" s="91"/>
      <x:c r="M92" s="91"/>
      <x:c r="N92" s="91"/>
      <x:c r="O92" s="91"/>
      <x:c r="P92" s="91"/>
      <x:c r="Q92" s="91"/>
      <x:c r="R92" s="91"/>
      <x:c r="S92" s="91"/>
      <x:c r="T92" s="91"/>
      <x:c r="U92" s="26"/>
      <x:c r="V92" s="90"/>
      <x:c r="W92" s="89"/>
      <x:c r="X92" s="91"/>
      <x:c r="Y92" s="91"/>
      <x:c r="Z92" s="89"/>
      <x:c r="AA92" s="27"/>
      <x:c r="AB92" s="93"/>
      <x:c r="AC92" s="83"/>
      <x:c r="AD92" s="82"/>
      <x:c r="AE92" s="82"/>
      <x:c r="AF92" s="80"/>
      <x:c r="AG92" s="83"/>
    </x:row>
    <x:row r="93">
      <x:c r="A93" s="80"/>
      <x:c r="B93" s="25"/>
      <x:c r="C93" s="25"/>
      <x:c r="D93" s="80"/>
      <x:c r="E93" s="25"/>
      <x:c r="F93" s="89"/>
      <x:c r="G93" s="89"/>
      <x:c r="H93" s="89"/>
      <x:c r="I93" s="91"/>
      <x:c r="J93" s="91"/>
      <x:c r="K93" s="91"/>
      <x:c r="L93" s="91"/>
      <x:c r="M93" s="91"/>
      <x:c r="N93" s="91"/>
      <x:c r="O93" s="91"/>
      <x:c r="P93" s="91"/>
      <x:c r="Q93" s="91"/>
      <x:c r="R93" s="91"/>
      <x:c r="S93" s="91"/>
      <x:c r="T93" s="91"/>
      <x:c r="U93" s="26"/>
      <x:c r="V93" s="90"/>
      <x:c r="W93" s="89"/>
      <x:c r="X93" s="91"/>
      <x:c r="Y93" s="91"/>
      <x:c r="Z93" s="89"/>
      <x:c r="AA93" s="27"/>
      <x:c r="AB93" s="93"/>
      <x:c r="AC93" s="83"/>
      <x:c r="AD93" s="82"/>
      <x:c r="AE93" s="82"/>
      <x:c r="AF93" s="80"/>
      <x:c r="AG93" s="83"/>
    </x:row>
    <x:row r="94">
      <x:c r="A94" s="80"/>
      <x:c r="B94" s="25"/>
      <x:c r="C94" s="25"/>
      <x:c r="D94" s="80"/>
      <x:c r="E94" s="25"/>
      <x:c r="F94" s="89"/>
      <x:c r="G94" s="89"/>
      <x:c r="H94" s="89"/>
      <x:c r="I94" s="91"/>
      <x:c r="J94" s="91"/>
      <x:c r="K94" s="91"/>
      <x:c r="L94" s="91"/>
      <x:c r="M94" s="91"/>
      <x:c r="N94" s="91"/>
      <x:c r="O94" s="91"/>
      <x:c r="P94" s="91"/>
      <x:c r="Q94" s="91"/>
      <x:c r="R94" s="91"/>
      <x:c r="S94" s="91"/>
      <x:c r="T94" s="91"/>
      <x:c r="U94" s="26"/>
      <x:c r="V94" s="90"/>
      <x:c r="W94" s="89"/>
      <x:c r="X94" s="91"/>
      <x:c r="Y94" s="91"/>
      <x:c r="Z94" s="89"/>
      <x:c r="AA94" s="27"/>
      <x:c r="AB94" s="93"/>
      <x:c r="AC94" s="83"/>
      <x:c r="AD94" s="82"/>
      <x:c r="AE94" s="82"/>
      <x:c r="AF94" s="80"/>
      <x:c r="AG94" s="83"/>
    </x:row>
    <x:row r="95">
      <x:c r="A95" s="80"/>
      <x:c r="B95" s="25"/>
      <x:c r="C95" s="25"/>
      <x:c r="D95" s="80"/>
      <x:c r="E95" s="25"/>
      <x:c r="F95" s="89"/>
      <x:c r="G95" s="89"/>
      <x:c r="H95" s="89"/>
      <x:c r="I95" s="91"/>
      <x:c r="J95" s="91"/>
      <x:c r="K95" s="91"/>
      <x:c r="L95" s="91"/>
      <x:c r="M95" s="91"/>
      <x:c r="N95" s="91"/>
      <x:c r="O95" s="91"/>
      <x:c r="P95" s="91"/>
      <x:c r="Q95" s="91"/>
      <x:c r="R95" s="91"/>
      <x:c r="S95" s="91"/>
      <x:c r="T95" s="91"/>
      <x:c r="U95" s="26"/>
      <x:c r="V95" s="90"/>
      <x:c r="W95" s="89"/>
      <x:c r="X95" s="91"/>
      <x:c r="Y95" s="91"/>
      <x:c r="Z95" s="89"/>
      <x:c r="AA95" s="27"/>
      <x:c r="AB95" s="93"/>
      <x:c r="AC95" s="83"/>
      <x:c r="AD95" s="82"/>
      <x:c r="AE95" s="82"/>
      <x:c r="AF95" s="80"/>
      <x:c r="AG95" s="83"/>
    </x:row>
    <x:row r="96">
      <x:c r="A96" s="80"/>
      <x:c r="B96" s="25"/>
      <x:c r="C96" s="25"/>
      <x:c r="D96" s="80"/>
      <x:c r="E96" s="25"/>
      <x:c r="F96" s="89"/>
      <x:c r="G96" s="89"/>
      <x:c r="H96" s="89"/>
      <x:c r="I96" s="91"/>
      <x:c r="J96" s="91"/>
      <x:c r="K96" s="91"/>
      <x:c r="L96" s="91"/>
      <x:c r="M96" s="91"/>
      <x:c r="N96" s="91"/>
      <x:c r="O96" s="91"/>
      <x:c r="P96" s="91"/>
      <x:c r="Q96" s="91"/>
      <x:c r="R96" s="91"/>
      <x:c r="S96" s="91"/>
      <x:c r="T96" s="91"/>
      <x:c r="U96" s="26"/>
      <x:c r="V96" s="90"/>
      <x:c r="W96" s="89"/>
      <x:c r="X96" s="91"/>
      <x:c r="Y96" s="91"/>
      <x:c r="Z96" s="89"/>
      <x:c r="AA96" s="27"/>
      <x:c r="AB96" s="93"/>
      <x:c r="AC96" s="83"/>
      <x:c r="AD96" s="82"/>
      <x:c r="AE96" s="82"/>
      <x:c r="AF96" s="80"/>
      <x:c r="AG96" s="83"/>
    </x:row>
    <x:row r="97">
      <x:c r="A97" s="80"/>
      <x:c r="B97" s="25"/>
      <x:c r="C97" s="25"/>
      <x:c r="D97" s="80"/>
      <x:c r="E97" s="25"/>
      <x:c r="F97" s="89"/>
      <x:c r="G97" s="89"/>
      <x:c r="H97" s="89"/>
      <x:c r="I97" s="91"/>
      <x:c r="J97" s="91"/>
      <x:c r="K97" s="91"/>
      <x:c r="L97" s="91"/>
      <x:c r="M97" s="91"/>
      <x:c r="N97" s="91"/>
      <x:c r="O97" s="91"/>
      <x:c r="P97" s="91"/>
      <x:c r="Q97" s="91"/>
      <x:c r="R97" s="91"/>
      <x:c r="S97" s="91"/>
      <x:c r="T97" s="91"/>
      <x:c r="U97" s="26"/>
      <x:c r="V97" s="90"/>
      <x:c r="W97" s="89"/>
      <x:c r="X97" s="91"/>
      <x:c r="Y97" s="91"/>
      <x:c r="Z97" s="89"/>
      <x:c r="AA97" s="27"/>
      <x:c r="AB97" s="93"/>
      <x:c r="AC97" s="83"/>
      <x:c r="AD97" s="82"/>
      <x:c r="AE97" s="82"/>
      <x:c r="AF97" s="80"/>
      <x:c r="AG97" s="83"/>
    </x:row>
    <x:row r="98">
      <x:c r="A98" s="80"/>
      <x:c r="B98" s="25"/>
      <x:c r="C98" s="25"/>
      <x:c r="D98" s="80"/>
      <x:c r="E98" s="25"/>
      <x:c r="F98" s="89"/>
      <x:c r="G98" s="89"/>
      <x:c r="H98" s="89"/>
      <x:c r="I98" s="91"/>
      <x:c r="J98" s="91"/>
      <x:c r="K98" s="91"/>
      <x:c r="L98" s="91"/>
      <x:c r="M98" s="91"/>
      <x:c r="N98" s="91"/>
      <x:c r="O98" s="91"/>
      <x:c r="P98" s="91"/>
      <x:c r="Q98" s="91"/>
      <x:c r="R98" s="91"/>
      <x:c r="S98" s="91"/>
      <x:c r="T98" s="91"/>
      <x:c r="U98" s="26"/>
      <x:c r="V98" s="90"/>
      <x:c r="W98" s="89"/>
      <x:c r="X98" s="91"/>
      <x:c r="Y98" s="91"/>
      <x:c r="Z98" s="89"/>
      <x:c r="AA98" s="27"/>
      <x:c r="AB98" s="93"/>
      <x:c r="AC98" s="83"/>
      <x:c r="AD98" s="82"/>
      <x:c r="AE98" s="82"/>
      <x:c r="AF98" s="80"/>
      <x:c r="AG98" s="83"/>
    </x:row>
    <x:row r="99">
      <x:c r="A99" s="80"/>
      <x:c r="B99" s="25"/>
      <x:c r="C99" s="25"/>
      <x:c r="D99" s="80"/>
      <x:c r="E99" s="25"/>
      <x:c r="F99" s="89"/>
      <x:c r="G99" s="89"/>
      <x:c r="H99" s="89"/>
      <x:c r="I99" s="91"/>
      <x:c r="J99" s="91"/>
      <x:c r="K99" s="91"/>
      <x:c r="L99" s="91"/>
      <x:c r="M99" s="91"/>
      <x:c r="N99" s="91"/>
      <x:c r="O99" s="91"/>
      <x:c r="P99" s="91"/>
      <x:c r="Q99" s="91"/>
      <x:c r="R99" s="91"/>
      <x:c r="S99" s="91"/>
      <x:c r="T99" s="91"/>
      <x:c r="U99" s="26"/>
      <x:c r="V99" s="90"/>
      <x:c r="W99" s="89"/>
      <x:c r="X99" s="91"/>
      <x:c r="Y99" s="91"/>
      <x:c r="Z99" s="89"/>
      <x:c r="AA99" s="27"/>
      <x:c r="AB99" s="93"/>
      <x:c r="AC99" s="83"/>
      <x:c r="AD99" s="82"/>
      <x:c r="AE99" s="82"/>
      <x:c r="AF99" s="80"/>
      <x:c r="AG99" s="83"/>
    </x:row>
    <x:row r="100">
      <x:c r="A100" s="80"/>
      <x:c r="B100" s="25"/>
      <x:c r="C100" s="25"/>
      <x:c r="D100" s="80"/>
      <x:c r="E100" s="25"/>
      <x:c r="F100" s="89"/>
      <x:c r="G100" s="89"/>
      <x:c r="H100" s="89"/>
      <x:c r="I100" s="91"/>
      <x:c r="J100" s="91"/>
      <x:c r="K100" s="91"/>
      <x:c r="L100" s="91"/>
      <x:c r="M100" s="91"/>
      <x:c r="N100" s="91"/>
      <x:c r="O100" s="91"/>
      <x:c r="P100" s="91"/>
      <x:c r="Q100" s="91"/>
      <x:c r="R100" s="91"/>
      <x:c r="S100" s="91"/>
      <x:c r="T100" s="91"/>
      <x:c r="U100" s="26"/>
      <x:c r="V100" s="90"/>
      <x:c r="W100" s="89"/>
      <x:c r="X100" s="91"/>
      <x:c r="Y100" s="91"/>
      <x:c r="Z100" s="89"/>
      <x:c r="AA100" s="27"/>
      <x:c r="AB100" s="93"/>
      <x:c r="AC100" s="83"/>
      <x:c r="AD100" s="82"/>
      <x:c r="AE100" s="82"/>
      <x:c r="AF100" s="80"/>
      <x:c r="AG100" s="83"/>
    </x:row>
    <x:row r="101">
      <x:c r="A101" s="80"/>
      <x:c r="B101" s="25"/>
      <x:c r="C101" s="25"/>
      <x:c r="D101" s="80"/>
      <x:c r="E101" s="25"/>
      <x:c r="F101" s="89"/>
      <x:c r="G101" s="89"/>
      <x:c r="H101" s="89"/>
      <x:c r="I101" s="91"/>
      <x:c r="J101" s="91"/>
      <x:c r="K101" s="91"/>
      <x:c r="L101" s="91"/>
      <x:c r="M101" s="91"/>
      <x:c r="N101" s="91"/>
      <x:c r="O101" s="91"/>
      <x:c r="P101" s="91"/>
      <x:c r="Q101" s="91"/>
      <x:c r="R101" s="91"/>
      <x:c r="S101" s="91"/>
      <x:c r="T101" s="91"/>
      <x:c r="U101" s="26"/>
      <x:c r="V101" s="90"/>
      <x:c r="W101" s="89"/>
      <x:c r="X101" s="91"/>
      <x:c r="Y101" s="91"/>
      <x:c r="Z101" s="89"/>
      <x:c r="AA101" s="27"/>
      <x:c r="AB101" s="93"/>
      <x:c r="AC101" s="83"/>
      <x:c r="AD101" s="82"/>
      <x:c r="AE101" s="82"/>
      <x:c r="AF101" s="80"/>
      <x:c r="AG101" s="83"/>
    </x:row>
    <x:row r="102">
      <x:c r="A102" s="80"/>
      <x:c r="B102" s="25"/>
      <x:c r="C102" s="25"/>
      <x:c r="D102" s="80"/>
      <x:c r="E102" s="25"/>
      <x:c r="F102" s="89"/>
      <x:c r="G102" s="89"/>
      <x:c r="H102" s="89"/>
      <x:c r="I102" s="91"/>
      <x:c r="J102" s="91"/>
      <x:c r="K102" s="91"/>
      <x:c r="L102" s="91"/>
      <x:c r="M102" s="91"/>
      <x:c r="N102" s="91"/>
      <x:c r="O102" s="91"/>
      <x:c r="P102" s="91"/>
      <x:c r="Q102" s="91"/>
      <x:c r="R102" s="91"/>
      <x:c r="S102" s="91"/>
      <x:c r="T102" s="91"/>
      <x:c r="U102" s="26"/>
      <x:c r="V102" s="90"/>
      <x:c r="W102" s="89"/>
      <x:c r="X102" s="91"/>
      <x:c r="Y102" s="91"/>
      <x:c r="Z102" s="89"/>
      <x:c r="AA102" s="27"/>
      <x:c r="AB102" s="93"/>
      <x:c r="AC102" s="83"/>
      <x:c r="AD102" s="82"/>
      <x:c r="AE102" s="82"/>
      <x:c r="AF102" s="80"/>
      <x:c r="AG102" s="83"/>
    </x:row>
    <x:row r="103">
      <x:c r="A103" s="80"/>
      <x:c r="B103" s="25"/>
      <x:c r="C103" s="25"/>
      <x:c r="D103" s="80"/>
      <x:c r="E103" s="25"/>
      <x:c r="F103" s="89"/>
      <x:c r="G103" s="89"/>
      <x:c r="H103" s="89"/>
      <x:c r="I103" s="91"/>
      <x:c r="J103" s="91"/>
      <x:c r="K103" s="91"/>
      <x:c r="L103" s="91"/>
      <x:c r="M103" s="91"/>
      <x:c r="N103" s="91"/>
      <x:c r="O103" s="91"/>
      <x:c r="P103" s="91"/>
      <x:c r="Q103" s="91"/>
      <x:c r="R103" s="91"/>
      <x:c r="S103" s="91"/>
      <x:c r="T103" s="91"/>
      <x:c r="U103" s="26"/>
      <x:c r="V103" s="90"/>
      <x:c r="W103" s="89"/>
      <x:c r="X103" s="91"/>
      <x:c r="Y103" s="91"/>
      <x:c r="Z103" s="89"/>
      <x:c r="AA103" s="27"/>
      <x:c r="AB103" s="93"/>
      <x:c r="AC103" s="83"/>
      <x:c r="AD103" s="82"/>
      <x:c r="AE103" s="82"/>
      <x:c r="AF103" s="80"/>
      <x:c r="AG103" s="83"/>
    </x:row>
    <x:row r="104">
      <x:c r="A104" s="80"/>
      <x:c r="B104" s="25"/>
      <x:c r="C104" s="25"/>
      <x:c r="D104" s="80"/>
      <x:c r="E104" s="25"/>
      <x:c r="F104" s="89"/>
      <x:c r="G104" s="89"/>
      <x:c r="H104" s="89"/>
      <x:c r="I104" s="91"/>
      <x:c r="J104" s="91"/>
      <x:c r="K104" s="91"/>
      <x:c r="L104" s="91"/>
      <x:c r="M104" s="91"/>
      <x:c r="N104" s="91"/>
      <x:c r="O104" s="91"/>
      <x:c r="P104" s="91"/>
      <x:c r="Q104" s="91"/>
      <x:c r="R104" s="91"/>
      <x:c r="S104" s="91"/>
      <x:c r="T104" s="91"/>
      <x:c r="U104" s="26"/>
      <x:c r="V104" s="90"/>
      <x:c r="W104" s="89"/>
      <x:c r="X104" s="91"/>
      <x:c r="Y104" s="91"/>
      <x:c r="Z104" s="89"/>
      <x:c r="AA104" s="27"/>
      <x:c r="AB104" s="93"/>
      <x:c r="AC104" s="83"/>
      <x:c r="AD104" s="82"/>
      <x:c r="AE104" s="82"/>
      <x:c r="AF104" s="80"/>
      <x:c r="AG104" s="83"/>
    </x:row>
    <x:row r="105">
      <x:c r="A105" s="80"/>
      <x:c r="B105" s="25"/>
      <x:c r="C105" s="25"/>
      <x:c r="D105" s="80"/>
      <x:c r="E105" s="25"/>
      <x:c r="F105" s="89"/>
      <x:c r="G105" s="89"/>
      <x:c r="H105" s="89"/>
      <x:c r="I105" s="91"/>
      <x:c r="J105" s="91"/>
      <x:c r="K105" s="91"/>
      <x:c r="L105" s="91"/>
      <x:c r="M105" s="91"/>
      <x:c r="N105" s="91"/>
      <x:c r="O105" s="91"/>
      <x:c r="P105" s="91"/>
      <x:c r="Q105" s="91"/>
      <x:c r="R105" s="91"/>
      <x:c r="S105" s="91"/>
      <x:c r="T105" s="91"/>
      <x:c r="U105" s="26"/>
      <x:c r="V105" s="90"/>
      <x:c r="W105" s="89"/>
      <x:c r="X105" s="91"/>
      <x:c r="Y105" s="91"/>
      <x:c r="Z105" s="89"/>
      <x:c r="AA105" s="27"/>
      <x:c r="AB105" s="93"/>
      <x:c r="AC105" s="83"/>
      <x:c r="AD105" s="82"/>
      <x:c r="AE105" s="82"/>
      <x:c r="AF105" s="80"/>
      <x:c r="AG105" s="83"/>
    </x:row>
    <x:row r="106">
      <x:c r="A106" s="80"/>
      <x:c r="B106" s="25"/>
      <x:c r="C106" s="25"/>
      <x:c r="D106" s="80"/>
      <x:c r="E106" s="25"/>
      <x:c r="F106" s="89"/>
      <x:c r="G106" s="89"/>
      <x:c r="H106" s="89"/>
      <x:c r="I106" s="91"/>
      <x:c r="J106" s="91"/>
      <x:c r="K106" s="91"/>
      <x:c r="L106" s="91"/>
      <x:c r="M106" s="91"/>
      <x:c r="N106" s="91"/>
      <x:c r="O106" s="91"/>
      <x:c r="P106" s="91"/>
      <x:c r="Q106" s="91"/>
      <x:c r="R106" s="91"/>
      <x:c r="S106" s="91"/>
      <x:c r="T106" s="91"/>
      <x:c r="U106" s="26"/>
      <x:c r="V106" s="90"/>
      <x:c r="W106" s="89"/>
      <x:c r="X106" s="91"/>
      <x:c r="Y106" s="91"/>
      <x:c r="Z106" s="89"/>
      <x:c r="AA106" s="27"/>
      <x:c r="AB106" s="93"/>
      <x:c r="AC106" s="83"/>
      <x:c r="AD106" s="82"/>
      <x:c r="AE106" s="82"/>
      <x:c r="AF106" s="80"/>
      <x:c r="AG106" s="83"/>
    </x:row>
    <x:row r="107">
      <x:c r="A107" s="80"/>
      <x:c r="B107" s="25"/>
      <x:c r="C107" s="25"/>
      <x:c r="D107" s="80"/>
      <x:c r="E107" s="25"/>
      <x:c r="F107" s="89"/>
      <x:c r="G107" s="89"/>
      <x:c r="H107" s="89"/>
      <x:c r="I107" s="91"/>
      <x:c r="J107" s="91"/>
      <x:c r="K107" s="91"/>
      <x:c r="L107" s="91"/>
      <x:c r="M107" s="91"/>
      <x:c r="N107" s="91"/>
      <x:c r="O107" s="91"/>
      <x:c r="P107" s="91"/>
      <x:c r="Q107" s="91"/>
      <x:c r="R107" s="91"/>
      <x:c r="S107" s="91"/>
      <x:c r="T107" s="91"/>
      <x:c r="U107" s="26"/>
      <x:c r="V107" s="90"/>
      <x:c r="W107" s="89"/>
      <x:c r="X107" s="91"/>
      <x:c r="Y107" s="91"/>
      <x:c r="Z107" s="89"/>
      <x:c r="AA107" s="27"/>
      <x:c r="AB107" s="93"/>
      <x:c r="AC107" s="83"/>
      <x:c r="AD107" s="82"/>
      <x:c r="AE107" s="82"/>
      <x:c r="AF107" s="80"/>
      <x:c r="AG107" s="83"/>
    </x:row>
    <x:row r="108">
      <x:c r="A108" s="80"/>
      <x:c r="B108" s="25"/>
      <x:c r="C108" s="25"/>
      <x:c r="D108" s="80"/>
      <x:c r="E108" s="25"/>
      <x:c r="F108" s="89"/>
      <x:c r="G108" s="89"/>
      <x:c r="H108" s="89"/>
      <x:c r="I108" s="91"/>
      <x:c r="J108" s="91"/>
      <x:c r="K108" s="91"/>
      <x:c r="L108" s="91"/>
      <x:c r="M108" s="91"/>
      <x:c r="N108" s="91"/>
      <x:c r="O108" s="91"/>
      <x:c r="P108" s="91"/>
      <x:c r="Q108" s="91"/>
      <x:c r="R108" s="91"/>
      <x:c r="S108" s="91"/>
      <x:c r="T108" s="91"/>
      <x:c r="U108" s="26"/>
      <x:c r="V108" s="90"/>
      <x:c r="W108" s="89"/>
      <x:c r="X108" s="91"/>
      <x:c r="Y108" s="91"/>
      <x:c r="Z108" s="89"/>
      <x:c r="AA108" s="27"/>
      <x:c r="AB108" s="93"/>
      <x:c r="AC108" s="83"/>
      <x:c r="AD108" s="82"/>
      <x:c r="AE108" s="82"/>
      <x:c r="AF108" s="80"/>
      <x:c r="AG108" s="83"/>
    </x:row>
    <x:row r="109">
      <x:c r="A109" s="80"/>
      <x:c r="B109" s="25"/>
      <x:c r="C109" s="25"/>
      <x:c r="D109" s="80"/>
      <x:c r="E109" s="25"/>
      <x:c r="F109" s="89"/>
      <x:c r="G109" s="89"/>
      <x:c r="H109" s="89"/>
      <x:c r="I109" s="91"/>
      <x:c r="J109" s="91"/>
      <x:c r="K109" s="91"/>
      <x:c r="L109" s="91"/>
      <x:c r="M109" s="91"/>
      <x:c r="N109" s="91"/>
      <x:c r="O109" s="91"/>
      <x:c r="P109" s="91"/>
      <x:c r="Q109" s="91"/>
      <x:c r="R109" s="91"/>
      <x:c r="S109" s="91"/>
      <x:c r="T109" s="91"/>
      <x:c r="U109" s="26"/>
      <x:c r="V109" s="90"/>
      <x:c r="W109" s="89"/>
      <x:c r="X109" s="91"/>
      <x:c r="Y109" s="91"/>
      <x:c r="Z109" s="89"/>
      <x:c r="AA109" s="27"/>
      <x:c r="AB109" s="93"/>
      <x:c r="AC109" s="83"/>
      <x:c r="AD109" s="82"/>
      <x:c r="AE109" s="82"/>
      <x:c r="AF109" s="80"/>
      <x:c r="AG109" s="83"/>
    </x:row>
    <x:row r="110">
      <x:c r="A110" s="80"/>
      <x:c r="B110" s="25"/>
      <x:c r="C110" s="25"/>
      <x:c r="D110" s="80"/>
      <x:c r="E110" s="25"/>
      <x:c r="F110" s="89"/>
      <x:c r="G110" s="89"/>
      <x:c r="H110" s="89"/>
      <x:c r="I110" s="91"/>
      <x:c r="J110" s="91"/>
      <x:c r="K110" s="91"/>
      <x:c r="L110" s="91"/>
      <x:c r="M110" s="91"/>
      <x:c r="N110" s="91"/>
      <x:c r="O110" s="91"/>
      <x:c r="P110" s="91"/>
      <x:c r="Q110" s="91"/>
      <x:c r="R110" s="91"/>
      <x:c r="S110" s="91"/>
      <x:c r="T110" s="91"/>
      <x:c r="U110" s="26"/>
      <x:c r="V110" s="90"/>
      <x:c r="W110" s="89"/>
      <x:c r="X110" s="91"/>
      <x:c r="Y110" s="91"/>
      <x:c r="Z110" s="89"/>
      <x:c r="AA110" s="27"/>
      <x:c r="AB110" s="93"/>
      <x:c r="AC110" s="83"/>
      <x:c r="AD110" s="82"/>
      <x:c r="AE110" s="82"/>
      <x:c r="AF110" s="80"/>
      <x:c r="AG110" s="83"/>
    </x:row>
    <x:row r="111">
      <x:c r="A111" s="80"/>
      <x:c r="B111" s="25"/>
      <x:c r="C111" s="25"/>
      <x:c r="D111" s="80"/>
      <x:c r="E111" s="25"/>
      <x:c r="F111" s="89"/>
      <x:c r="G111" s="89"/>
      <x:c r="H111" s="89"/>
      <x:c r="I111" s="91"/>
      <x:c r="J111" s="91"/>
      <x:c r="K111" s="91"/>
      <x:c r="L111" s="91"/>
      <x:c r="M111" s="91"/>
      <x:c r="N111" s="91"/>
      <x:c r="O111" s="91"/>
      <x:c r="P111" s="91"/>
      <x:c r="Q111" s="91"/>
      <x:c r="R111" s="91"/>
      <x:c r="S111" s="91"/>
      <x:c r="T111" s="91"/>
      <x:c r="U111" s="26"/>
      <x:c r="V111" s="90"/>
      <x:c r="W111" s="89"/>
      <x:c r="X111" s="91"/>
      <x:c r="Y111" s="91"/>
      <x:c r="Z111" s="89"/>
      <x:c r="AA111" s="27"/>
      <x:c r="AB111" s="93"/>
      <x:c r="AC111" s="83"/>
      <x:c r="AD111" s="82"/>
      <x:c r="AE111" s="82"/>
      <x:c r="AF111" s="80"/>
      <x:c r="AG111" s="83"/>
    </x:row>
    <x:row r="112">
      <x:c r="A112" s="80"/>
      <x:c r="B112" s="25"/>
      <x:c r="C112" s="25"/>
      <x:c r="D112" s="80"/>
      <x:c r="E112" s="25"/>
      <x:c r="F112" s="89"/>
      <x:c r="G112" s="89"/>
      <x:c r="H112" s="89"/>
      <x:c r="I112" s="91"/>
      <x:c r="J112" s="91"/>
      <x:c r="K112" s="91"/>
      <x:c r="L112" s="91"/>
      <x:c r="M112" s="91"/>
      <x:c r="N112" s="91"/>
      <x:c r="O112" s="91"/>
      <x:c r="P112" s="91"/>
      <x:c r="Q112" s="91"/>
      <x:c r="R112" s="91"/>
      <x:c r="S112" s="91"/>
      <x:c r="T112" s="91"/>
      <x:c r="U112" s="26"/>
      <x:c r="V112" s="90"/>
      <x:c r="W112" s="89"/>
      <x:c r="X112" s="91"/>
      <x:c r="Y112" s="91"/>
      <x:c r="Z112" s="89"/>
      <x:c r="AA112" s="27"/>
      <x:c r="AB112" s="93"/>
      <x:c r="AC112" s="83"/>
      <x:c r="AD112" s="82"/>
      <x:c r="AE112" s="82"/>
      <x:c r="AF112" s="80"/>
      <x:c r="AG112" s="83"/>
    </x:row>
    <x:row r="113">
      <x:c r="A113" s="80"/>
      <x:c r="B113" s="25"/>
      <x:c r="C113" s="25"/>
      <x:c r="D113" s="80"/>
      <x:c r="E113" s="25"/>
      <x:c r="F113" s="89"/>
      <x:c r="G113" s="89"/>
      <x:c r="H113" s="89"/>
      <x:c r="I113" s="91"/>
      <x:c r="J113" s="91"/>
      <x:c r="K113" s="91"/>
      <x:c r="L113" s="91"/>
      <x:c r="M113" s="91"/>
      <x:c r="N113" s="91"/>
      <x:c r="O113" s="91"/>
      <x:c r="P113" s="91"/>
      <x:c r="Q113" s="91"/>
      <x:c r="R113" s="91"/>
      <x:c r="S113" s="91"/>
      <x:c r="T113" s="91"/>
      <x:c r="U113" s="26"/>
      <x:c r="V113" s="90"/>
      <x:c r="W113" s="89"/>
      <x:c r="X113" s="91"/>
      <x:c r="Y113" s="91"/>
      <x:c r="Z113" s="89"/>
      <x:c r="AA113" s="27"/>
      <x:c r="AB113" s="93"/>
      <x:c r="AC113" s="83"/>
      <x:c r="AD113" s="82"/>
      <x:c r="AE113" s="82"/>
      <x:c r="AF113" s="80"/>
      <x:c r="AG113" s="83"/>
    </x:row>
    <x:row r="114">
      <x:c r="A114" s="80"/>
      <x:c r="B114" s="25"/>
      <x:c r="C114" s="25"/>
      <x:c r="D114" s="80"/>
      <x:c r="E114" s="25"/>
      <x:c r="F114" s="89"/>
      <x:c r="G114" s="89"/>
      <x:c r="H114" s="89"/>
      <x:c r="I114" s="91"/>
      <x:c r="J114" s="91"/>
      <x:c r="K114" s="91"/>
      <x:c r="L114" s="91"/>
      <x:c r="M114" s="91"/>
      <x:c r="N114" s="91"/>
      <x:c r="O114" s="91"/>
      <x:c r="P114" s="91"/>
      <x:c r="Q114" s="91"/>
      <x:c r="R114" s="91"/>
      <x:c r="S114" s="91"/>
      <x:c r="T114" s="91"/>
      <x:c r="U114" s="26"/>
      <x:c r="V114" s="90"/>
      <x:c r="W114" s="89"/>
      <x:c r="X114" s="91"/>
      <x:c r="Y114" s="91"/>
      <x:c r="Z114" s="89"/>
      <x:c r="AA114" s="27"/>
      <x:c r="AB114" s="93"/>
      <x:c r="AC114" s="83"/>
      <x:c r="AD114" s="82"/>
      <x:c r="AE114" s="82"/>
      <x:c r="AF114" s="80"/>
      <x:c r="AG114" s="83"/>
    </x:row>
    <x:row r="115">
      <x:c r="A115" s="80"/>
      <x:c r="B115" s="25"/>
      <x:c r="C115" s="25"/>
      <x:c r="D115" s="80"/>
      <x:c r="E115" s="25"/>
      <x:c r="F115" s="89"/>
      <x:c r="G115" s="89"/>
      <x:c r="H115" s="89"/>
      <x:c r="I115" s="91"/>
      <x:c r="J115" s="91"/>
      <x:c r="K115" s="91"/>
      <x:c r="L115" s="91"/>
      <x:c r="M115" s="91"/>
      <x:c r="N115" s="91"/>
      <x:c r="O115" s="91"/>
      <x:c r="P115" s="91"/>
      <x:c r="Q115" s="91"/>
      <x:c r="R115" s="91"/>
      <x:c r="S115" s="91"/>
      <x:c r="T115" s="91"/>
      <x:c r="U115" s="26"/>
      <x:c r="V115" s="90"/>
      <x:c r="W115" s="89"/>
      <x:c r="X115" s="91"/>
      <x:c r="Y115" s="91"/>
      <x:c r="Z115" s="89"/>
      <x:c r="AA115" s="27"/>
      <x:c r="AB115" s="93"/>
      <x:c r="AC115" s="83"/>
      <x:c r="AD115" s="82"/>
      <x:c r="AE115" s="82"/>
      <x:c r="AF115" s="80"/>
      <x:c r="AG115" s="83"/>
    </x:row>
    <x:row r="116">
      <x:c r="A116" s="80"/>
      <x:c r="B116" s="25"/>
      <x:c r="C116" s="25"/>
      <x:c r="D116" s="80"/>
      <x:c r="E116" s="25"/>
      <x:c r="F116" s="89"/>
      <x:c r="G116" s="89"/>
      <x:c r="H116" s="89"/>
      <x:c r="I116" s="91"/>
      <x:c r="J116" s="91"/>
      <x:c r="K116" s="91"/>
      <x:c r="L116" s="91"/>
      <x:c r="M116" s="91"/>
      <x:c r="N116" s="91"/>
      <x:c r="O116" s="91"/>
      <x:c r="P116" s="91"/>
      <x:c r="Q116" s="91"/>
      <x:c r="R116" s="91"/>
      <x:c r="S116" s="91"/>
      <x:c r="T116" s="91"/>
      <x:c r="U116" s="26"/>
      <x:c r="V116" s="90"/>
      <x:c r="W116" s="89"/>
      <x:c r="X116" s="91"/>
      <x:c r="Y116" s="91"/>
      <x:c r="Z116" s="89"/>
      <x:c r="AA116" s="27"/>
      <x:c r="AB116" s="93"/>
      <x:c r="AC116" s="83"/>
      <x:c r="AD116" s="82"/>
      <x:c r="AE116" s="82"/>
      <x:c r="AF116" s="80"/>
      <x:c r="AG116" s="83"/>
    </x:row>
    <x:row r="117">
      <x:c r="A117" s="80"/>
      <x:c r="B117" s="25"/>
      <x:c r="C117" s="25"/>
      <x:c r="D117" s="80"/>
      <x:c r="E117" s="25"/>
      <x:c r="F117" s="89"/>
      <x:c r="G117" s="89"/>
      <x:c r="H117" s="89"/>
      <x:c r="I117" s="91"/>
      <x:c r="J117" s="91"/>
      <x:c r="K117" s="91"/>
      <x:c r="L117" s="91"/>
      <x:c r="M117" s="91"/>
      <x:c r="N117" s="91"/>
      <x:c r="O117" s="91"/>
      <x:c r="P117" s="91"/>
      <x:c r="Q117" s="91"/>
      <x:c r="R117" s="91"/>
      <x:c r="S117" s="91"/>
      <x:c r="T117" s="91"/>
      <x:c r="U117" s="26"/>
      <x:c r="V117" s="90"/>
      <x:c r="W117" s="89"/>
      <x:c r="X117" s="91"/>
      <x:c r="Y117" s="91"/>
      <x:c r="Z117" s="89"/>
      <x:c r="AA117" s="27"/>
      <x:c r="AB117" s="93"/>
      <x:c r="AC117" s="83"/>
      <x:c r="AD117" s="82"/>
      <x:c r="AE117" s="82"/>
      <x:c r="AF117" s="80"/>
      <x:c r="AG117" s="83"/>
    </x:row>
    <x:row r="118">
      <x:c r="A118" s="80"/>
      <x:c r="B118" s="25"/>
      <x:c r="C118" s="25"/>
      <x:c r="D118" s="80"/>
      <x:c r="E118" s="25"/>
      <x:c r="F118" s="89"/>
      <x:c r="G118" s="89"/>
      <x:c r="H118" s="89"/>
      <x:c r="I118" s="91"/>
      <x:c r="J118" s="91"/>
      <x:c r="K118" s="91"/>
      <x:c r="L118" s="91"/>
      <x:c r="M118" s="91"/>
      <x:c r="N118" s="91"/>
      <x:c r="O118" s="91"/>
      <x:c r="P118" s="91"/>
      <x:c r="Q118" s="91"/>
      <x:c r="R118" s="91"/>
      <x:c r="S118" s="91"/>
      <x:c r="T118" s="91"/>
      <x:c r="U118" s="26"/>
      <x:c r="V118" s="90"/>
      <x:c r="W118" s="89"/>
      <x:c r="X118" s="91"/>
      <x:c r="Y118" s="91"/>
      <x:c r="Z118" s="89"/>
      <x:c r="AA118" s="27"/>
      <x:c r="AB118" s="93"/>
      <x:c r="AC118" s="83"/>
      <x:c r="AD118" s="82"/>
      <x:c r="AE118" s="82"/>
      <x:c r="AF118" s="80"/>
      <x:c r="AG118" s="83"/>
    </x:row>
    <x:row r="119">
      <x:c r="A119" s="80"/>
      <x:c r="B119" s="25"/>
      <x:c r="C119" s="25"/>
      <x:c r="D119" s="80"/>
      <x:c r="E119" s="25"/>
      <x:c r="F119" s="89"/>
      <x:c r="G119" s="89"/>
      <x:c r="H119" s="89"/>
      <x:c r="I119" s="91"/>
      <x:c r="J119" s="91"/>
      <x:c r="K119" s="91"/>
      <x:c r="L119" s="91"/>
      <x:c r="M119" s="91"/>
      <x:c r="N119" s="91"/>
      <x:c r="O119" s="91"/>
      <x:c r="P119" s="91"/>
      <x:c r="Q119" s="91"/>
      <x:c r="R119" s="91"/>
      <x:c r="S119" s="91"/>
      <x:c r="T119" s="91"/>
      <x:c r="U119" s="26"/>
      <x:c r="V119" s="90"/>
      <x:c r="W119" s="89"/>
      <x:c r="X119" s="91"/>
      <x:c r="Y119" s="91"/>
      <x:c r="Z119" s="89"/>
      <x:c r="AA119" s="27"/>
      <x:c r="AB119" s="93"/>
      <x:c r="AC119" s="83"/>
      <x:c r="AD119" s="82"/>
      <x:c r="AE119" s="82"/>
      <x:c r="AF119" s="80"/>
      <x:c r="AG119" s="83"/>
    </x:row>
    <x:row r="120">
      <x:c r="A120" s="80"/>
      <x:c r="B120" s="25"/>
      <x:c r="C120" s="25"/>
      <x:c r="D120" s="80"/>
      <x:c r="E120" s="25"/>
      <x:c r="F120" s="89"/>
      <x:c r="G120" s="89"/>
      <x:c r="H120" s="89"/>
      <x:c r="I120" s="91"/>
      <x:c r="J120" s="91"/>
      <x:c r="K120" s="91"/>
      <x:c r="L120" s="91"/>
      <x:c r="M120" s="91"/>
      <x:c r="N120" s="91"/>
      <x:c r="O120" s="91"/>
      <x:c r="P120" s="91"/>
      <x:c r="Q120" s="91"/>
      <x:c r="R120" s="91"/>
      <x:c r="S120" s="91"/>
      <x:c r="T120" s="91"/>
      <x:c r="U120" s="26"/>
      <x:c r="V120" s="90"/>
      <x:c r="W120" s="89"/>
      <x:c r="X120" s="91"/>
      <x:c r="Y120" s="91"/>
      <x:c r="Z120" s="89"/>
      <x:c r="AA120" s="27"/>
      <x:c r="AB120" s="93"/>
      <x:c r="AC120" s="83"/>
      <x:c r="AD120" s="82"/>
      <x:c r="AE120" s="82"/>
      <x:c r="AF120" s="80"/>
      <x:c r="AG120" s="83"/>
    </x:row>
    <x:row r="121">
      <x:c r="A121" s="80"/>
      <x:c r="B121" s="25"/>
      <x:c r="C121" s="25"/>
      <x:c r="D121" s="80"/>
      <x:c r="E121" s="25"/>
      <x:c r="F121" s="89"/>
      <x:c r="G121" s="89"/>
      <x:c r="H121" s="89"/>
      <x:c r="I121" s="91"/>
      <x:c r="J121" s="91"/>
      <x:c r="K121" s="91"/>
      <x:c r="L121" s="91"/>
      <x:c r="M121" s="91"/>
      <x:c r="N121" s="91"/>
      <x:c r="O121" s="91"/>
      <x:c r="P121" s="91"/>
      <x:c r="Q121" s="91"/>
      <x:c r="R121" s="91"/>
      <x:c r="S121" s="91"/>
      <x:c r="T121" s="91"/>
      <x:c r="U121" s="26"/>
      <x:c r="V121" s="90"/>
      <x:c r="W121" s="89"/>
      <x:c r="X121" s="91"/>
      <x:c r="Y121" s="91"/>
      <x:c r="Z121" s="89"/>
      <x:c r="AA121" s="27"/>
      <x:c r="AB121" s="93"/>
      <x:c r="AC121" s="83"/>
      <x:c r="AD121" s="82"/>
      <x:c r="AE121" s="82"/>
      <x:c r="AF121" s="80"/>
      <x:c r="AG121" s="83"/>
    </x:row>
    <x:row r="122">
      <x:c r="A122" s="80"/>
      <x:c r="B122" s="25"/>
      <x:c r="C122" s="25"/>
      <x:c r="D122" s="80"/>
      <x:c r="E122" s="25"/>
      <x:c r="F122" s="89"/>
      <x:c r="G122" s="89"/>
      <x:c r="H122" s="89"/>
      <x:c r="I122" s="91"/>
      <x:c r="J122" s="91"/>
      <x:c r="K122" s="91"/>
      <x:c r="L122" s="91"/>
      <x:c r="M122" s="91"/>
      <x:c r="N122" s="91"/>
      <x:c r="O122" s="91"/>
      <x:c r="P122" s="91"/>
      <x:c r="Q122" s="91"/>
      <x:c r="R122" s="91"/>
      <x:c r="S122" s="91"/>
      <x:c r="T122" s="91"/>
      <x:c r="U122" s="26"/>
      <x:c r="V122" s="90"/>
      <x:c r="W122" s="89"/>
      <x:c r="X122" s="91"/>
      <x:c r="Y122" s="91"/>
      <x:c r="Z122" s="89"/>
      <x:c r="AA122" s="27"/>
      <x:c r="AB122" s="93"/>
      <x:c r="AC122" s="83"/>
      <x:c r="AD122" s="82"/>
      <x:c r="AE122" s="82"/>
      <x:c r="AF122" s="80"/>
      <x:c r="AG122" s="83"/>
    </x:row>
    <x:row r="123">
      <x:c r="A123" s="80"/>
      <x:c r="B123" s="25"/>
      <x:c r="C123" s="25"/>
      <x:c r="D123" s="80"/>
      <x:c r="E123" s="25"/>
      <x:c r="F123" s="89"/>
      <x:c r="G123" s="89"/>
      <x:c r="H123" s="89"/>
      <x:c r="I123" s="91"/>
      <x:c r="J123" s="91"/>
      <x:c r="K123" s="91"/>
      <x:c r="L123" s="91"/>
      <x:c r="M123" s="91"/>
      <x:c r="N123" s="91"/>
      <x:c r="O123" s="91"/>
      <x:c r="P123" s="91"/>
      <x:c r="Q123" s="91"/>
      <x:c r="R123" s="91"/>
      <x:c r="S123" s="91"/>
      <x:c r="T123" s="91"/>
      <x:c r="U123" s="26"/>
      <x:c r="V123" s="90"/>
      <x:c r="W123" s="89"/>
      <x:c r="X123" s="91"/>
      <x:c r="Y123" s="91"/>
      <x:c r="Z123" s="89"/>
      <x:c r="AA123" s="27"/>
      <x:c r="AB123" s="93"/>
      <x:c r="AC123" s="83"/>
      <x:c r="AD123" s="82"/>
      <x:c r="AE123" s="82"/>
      <x:c r="AF123" s="80"/>
      <x:c r="AG123" s="83"/>
    </x:row>
    <x:row r="124">
      <x:c r="A124" s="80"/>
      <x:c r="B124" s="25"/>
      <x:c r="C124" s="25"/>
      <x:c r="D124" s="80"/>
      <x:c r="E124" s="25"/>
      <x:c r="F124" s="89"/>
      <x:c r="G124" s="89"/>
      <x:c r="H124" s="89"/>
      <x:c r="I124" s="91"/>
      <x:c r="J124" s="91"/>
      <x:c r="K124" s="91"/>
      <x:c r="L124" s="91"/>
      <x:c r="M124" s="91"/>
      <x:c r="N124" s="91"/>
      <x:c r="O124" s="91"/>
      <x:c r="P124" s="91"/>
      <x:c r="Q124" s="91"/>
      <x:c r="R124" s="91"/>
      <x:c r="S124" s="91"/>
      <x:c r="T124" s="91"/>
      <x:c r="U124" s="26"/>
      <x:c r="V124" s="90"/>
      <x:c r="W124" s="89"/>
      <x:c r="X124" s="91"/>
      <x:c r="Y124" s="91"/>
      <x:c r="Z124" s="89"/>
      <x:c r="AA124" s="27"/>
      <x:c r="AB124" s="93"/>
      <x:c r="AC124" s="83"/>
      <x:c r="AD124" s="82"/>
      <x:c r="AE124" s="82"/>
      <x:c r="AF124" s="80"/>
      <x:c r="AG124" s="83"/>
    </x:row>
    <x:row r="125">
      <x:c r="A125" s="80"/>
      <x:c r="B125" s="25"/>
      <x:c r="C125" s="25"/>
      <x:c r="D125" s="80"/>
      <x:c r="E125" s="25"/>
      <x:c r="F125" s="89"/>
      <x:c r="G125" s="89"/>
      <x:c r="H125" s="89"/>
      <x:c r="I125" s="91"/>
      <x:c r="J125" s="91"/>
      <x:c r="K125" s="91"/>
      <x:c r="L125" s="91"/>
      <x:c r="M125" s="91"/>
      <x:c r="N125" s="91"/>
      <x:c r="O125" s="91"/>
      <x:c r="P125" s="91"/>
      <x:c r="Q125" s="91"/>
      <x:c r="R125" s="91"/>
      <x:c r="S125" s="91"/>
      <x:c r="T125" s="91"/>
      <x:c r="U125" s="26"/>
      <x:c r="V125" s="90"/>
      <x:c r="W125" s="89"/>
      <x:c r="X125" s="91"/>
      <x:c r="Y125" s="91"/>
      <x:c r="Z125" s="89"/>
      <x:c r="AA125" s="27"/>
      <x:c r="AB125" s="93"/>
      <x:c r="AC125" s="83"/>
      <x:c r="AD125" s="82"/>
      <x:c r="AE125" s="82"/>
      <x:c r="AF125" s="80"/>
      <x:c r="AG125" s="83"/>
    </x:row>
    <x:row r="126">
      <x:c r="A126" s="80"/>
      <x:c r="B126" s="25"/>
      <x:c r="C126" s="25"/>
      <x:c r="D126" s="80"/>
      <x:c r="E126" s="25"/>
      <x:c r="F126" s="89"/>
      <x:c r="G126" s="89"/>
      <x:c r="H126" s="89"/>
      <x:c r="I126" s="91"/>
      <x:c r="J126" s="91"/>
      <x:c r="K126" s="91"/>
      <x:c r="L126" s="91"/>
      <x:c r="M126" s="91"/>
      <x:c r="N126" s="91"/>
      <x:c r="O126" s="91"/>
      <x:c r="P126" s="91"/>
      <x:c r="Q126" s="91"/>
      <x:c r="R126" s="91"/>
      <x:c r="S126" s="91"/>
      <x:c r="T126" s="91"/>
      <x:c r="U126" s="26"/>
      <x:c r="V126" s="90"/>
      <x:c r="W126" s="89"/>
      <x:c r="X126" s="91"/>
      <x:c r="Y126" s="91"/>
      <x:c r="Z126" s="89"/>
      <x:c r="AA126" s="27"/>
      <x:c r="AB126" s="93"/>
      <x:c r="AC126" s="83"/>
      <x:c r="AD126" s="82"/>
      <x:c r="AE126" s="82"/>
      <x:c r="AF126" s="80"/>
      <x:c r="AG126" s="83"/>
    </x:row>
    <x:row r="127">
      <x:c r="A127" s="80"/>
      <x:c r="B127" s="25"/>
      <x:c r="C127" s="25"/>
      <x:c r="D127" s="80"/>
      <x:c r="E127" s="25"/>
      <x:c r="F127" s="89"/>
      <x:c r="G127" s="89"/>
      <x:c r="H127" s="89"/>
      <x:c r="I127" s="91"/>
      <x:c r="J127" s="91"/>
      <x:c r="K127" s="91"/>
      <x:c r="L127" s="91"/>
      <x:c r="M127" s="91"/>
      <x:c r="N127" s="91"/>
      <x:c r="O127" s="91"/>
      <x:c r="P127" s="91"/>
      <x:c r="Q127" s="91"/>
      <x:c r="R127" s="91"/>
      <x:c r="S127" s="91"/>
      <x:c r="T127" s="91"/>
      <x:c r="U127" s="26"/>
      <x:c r="V127" s="90"/>
      <x:c r="W127" s="89"/>
      <x:c r="X127" s="91"/>
      <x:c r="Y127" s="91"/>
      <x:c r="Z127" s="89"/>
      <x:c r="AA127" s="27"/>
      <x:c r="AB127" s="93"/>
      <x:c r="AC127" s="83"/>
      <x:c r="AD127" s="82"/>
      <x:c r="AE127" s="82"/>
      <x:c r="AF127" s="80"/>
      <x:c r="AG127" s="83"/>
    </x:row>
    <x:row r="128">
      <x:c r="A128" s="80"/>
      <x:c r="B128" s="25"/>
      <x:c r="C128" s="25"/>
      <x:c r="D128" s="80"/>
      <x:c r="E128" s="25"/>
      <x:c r="F128" s="89"/>
      <x:c r="G128" s="89"/>
      <x:c r="H128" s="89"/>
      <x:c r="I128" s="91"/>
      <x:c r="J128" s="91"/>
      <x:c r="K128" s="91"/>
      <x:c r="L128" s="91"/>
      <x:c r="M128" s="91"/>
      <x:c r="N128" s="91"/>
      <x:c r="O128" s="91"/>
      <x:c r="P128" s="91"/>
      <x:c r="Q128" s="91"/>
      <x:c r="R128" s="91"/>
      <x:c r="S128" s="91"/>
      <x:c r="T128" s="91"/>
      <x:c r="U128" s="26"/>
      <x:c r="V128" s="90"/>
      <x:c r="W128" s="89"/>
      <x:c r="X128" s="91"/>
      <x:c r="Y128" s="91"/>
      <x:c r="Z128" s="89"/>
      <x:c r="AA128" s="27"/>
      <x:c r="AB128" s="93"/>
      <x:c r="AC128" s="83"/>
      <x:c r="AD128" s="82"/>
      <x:c r="AE128" s="82"/>
      <x:c r="AF128" s="80"/>
      <x:c r="AG128" s="83"/>
    </x:row>
    <x:row r="129">
      <x:c r="A129" s="80"/>
      <x:c r="B129" s="25"/>
      <x:c r="C129" s="25"/>
      <x:c r="D129" s="80"/>
      <x:c r="E129" s="25"/>
      <x:c r="F129" s="89"/>
      <x:c r="G129" s="89"/>
      <x:c r="H129" s="89"/>
      <x:c r="I129" s="91"/>
      <x:c r="J129" s="91"/>
      <x:c r="K129" s="91"/>
      <x:c r="L129" s="91"/>
      <x:c r="M129" s="91"/>
      <x:c r="N129" s="91"/>
      <x:c r="O129" s="91"/>
      <x:c r="P129" s="91"/>
      <x:c r="Q129" s="91"/>
      <x:c r="R129" s="91"/>
      <x:c r="S129" s="91"/>
      <x:c r="T129" s="91"/>
      <x:c r="U129" s="26"/>
      <x:c r="V129" s="90"/>
      <x:c r="W129" s="89"/>
      <x:c r="X129" s="91"/>
      <x:c r="Y129" s="91"/>
      <x:c r="Z129" s="89"/>
      <x:c r="AA129" s="27"/>
      <x:c r="AB129" s="93"/>
      <x:c r="AC129" s="83"/>
      <x:c r="AD129" s="82"/>
      <x:c r="AE129" s="82"/>
      <x:c r="AF129" s="80"/>
      <x:c r="AG129" s="83"/>
    </x:row>
    <x:row r="130">
      <x:c r="A130" s="80"/>
      <x:c r="B130" s="25"/>
      <x:c r="C130" s="25"/>
      <x:c r="D130" s="80"/>
      <x:c r="E130" s="25"/>
      <x:c r="F130" s="89"/>
      <x:c r="G130" s="89"/>
      <x:c r="H130" s="89"/>
      <x:c r="I130" s="91"/>
      <x:c r="J130" s="91"/>
      <x:c r="K130" s="91"/>
      <x:c r="L130" s="91"/>
      <x:c r="M130" s="91"/>
      <x:c r="N130" s="91"/>
      <x:c r="O130" s="91"/>
      <x:c r="P130" s="91"/>
      <x:c r="Q130" s="91"/>
      <x:c r="R130" s="91"/>
      <x:c r="S130" s="91"/>
      <x:c r="T130" s="91"/>
      <x:c r="U130" s="26"/>
      <x:c r="V130" s="90"/>
      <x:c r="W130" s="89"/>
      <x:c r="X130" s="91"/>
      <x:c r="Y130" s="91"/>
      <x:c r="Z130" s="89"/>
      <x:c r="AA130" s="27"/>
      <x:c r="AB130" s="93"/>
      <x:c r="AC130" s="83"/>
      <x:c r="AD130" s="82"/>
      <x:c r="AE130" s="82"/>
      <x:c r="AF130" s="80"/>
      <x:c r="AG130" s="83"/>
    </x:row>
    <x:row r="131">
      <x:c r="A131" s="80"/>
      <x:c r="B131" s="25"/>
      <x:c r="C131" s="25"/>
      <x:c r="D131" s="80"/>
      <x:c r="E131" s="25"/>
      <x:c r="F131" s="89"/>
      <x:c r="G131" s="89"/>
      <x:c r="H131" s="89"/>
      <x:c r="I131" s="91"/>
      <x:c r="J131" s="91"/>
      <x:c r="K131" s="91"/>
      <x:c r="L131" s="91"/>
      <x:c r="M131" s="91"/>
      <x:c r="N131" s="91"/>
      <x:c r="O131" s="91"/>
      <x:c r="P131" s="91"/>
      <x:c r="Q131" s="91"/>
      <x:c r="R131" s="91"/>
      <x:c r="S131" s="91"/>
      <x:c r="T131" s="91"/>
      <x:c r="U131" s="26"/>
      <x:c r="V131" s="90"/>
      <x:c r="W131" s="89"/>
      <x:c r="X131" s="91"/>
      <x:c r="Y131" s="91"/>
      <x:c r="Z131" s="89"/>
      <x:c r="AA131" s="27"/>
      <x:c r="AB131" s="93"/>
      <x:c r="AC131" s="83"/>
      <x:c r="AD131" s="82"/>
      <x:c r="AE131" s="82"/>
      <x:c r="AF131" s="80"/>
      <x:c r="AG131" s="83"/>
    </x:row>
    <x:row r="132">
      <x:c r="A132" s="80"/>
      <x:c r="B132" s="25"/>
      <x:c r="C132" s="25"/>
      <x:c r="D132" s="80"/>
      <x:c r="E132" s="25"/>
      <x:c r="F132" s="89"/>
      <x:c r="G132" s="89"/>
      <x:c r="H132" s="89"/>
      <x:c r="I132" s="91"/>
      <x:c r="J132" s="91"/>
      <x:c r="K132" s="91"/>
      <x:c r="L132" s="91"/>
      <x:c r="M132" s="91"/>
      <x:c r="N132" s="91"/>
      <x:c r="O132" s="91"/>
      <x:c r="P132" s="91"/>
      <x:c r="Q132" s="91"/>
      <x:c r="R132" s="91"/>
      <x:c r="S132" s="91"/>
      <x:c r="T132" s="91"/>
      <x:c r="U132" s="26"/>
      <x:c r="V132" s="90"/>
      <x:c r="W132" s="89"/>
      <x:c r="X132" s="91"/>
      <x:c r="Y132" s="91"/>
      <x:c r="Z132" s="89"/>
      <x:c r="AA132" s="27"/>
      <x:c r="AB132" s="93"/>
      <x:c r="AC132" s="83"/>
      <x:c r="AD132" s="82"/>
      <x:c r="AE132" s="82"/>
      <x:c r="AF132" s="80"/>
      <x:c r="AG132" s="83"/>
    </x:row>
    <x:row r="133">
      <x:c r="A133" s="80"/>
      <x:c r="B133" s="25"/>
      <x:c r="C133" s="25"/>
      <x:c r="D133" s="80"/>
      <x:c r="E133" s="25"/>
      <x:c r="F133" s="89"/>
      <x:c r="G133" s="89"/>
      <x:c r="H133" s="89"/>
      <x:c r="I133" s="91"/>
      <x:c r="J133" s="91"/>
      <x:c r="K133" s="91"/>
      <x:c r="L133" s="91"/>
      <x:c r="M133" s="91"/>
      <x:c r="N133" s="91"/>
      <x:c r="O133" s="91"/>
      <x:c r="P133" s="91"/>
      <x:c r="Q133" s="91"/>
      <x:c r="R133" s="91"/>
      <x:c r="S133" s="91"/>
      <x:c r="T133" s="91"/>
      <x:c r="U133" s="26"/>
      <x:c r="V133" s="90"/>
      <x:c r="W133" s="89"/>
      <x:c r="X133" s="91"/>
      <x:c r="Y133" s="91"/>
      <x:c r="Z133" s="89"/>
      <x:c r="AA133" s="27"/>
      <x:c r="AB133" s="93"/>
      <x:c r="AC133" s="83"/>
      <x:c r="AD133" s="82"/>
      <x:c r="AE133" s="82"/>
      <x:c r="AF133" s="80"/>
      <x:c r="AG133" s="83"/>
    </x:row>
    <x:row r="134">
      <x:c r="A134" s="80"/>
      <x:c r="B134" s="25"/>
      <x:c r="C134" s="25"/>
      <x:c r="D134" s="80"/>
      <x:c r="E134" s="25"/>
      <x:c r="F134" s="89"/>
      <x:c r="G134" s="89"/>
      <x:c r="H134" s="89"/>
      <x:c r="I134" s="91"/>
      <x:c r="J134" s="91"/>
      <x:c r="K134" s="91"/>
      <x:c r="L134" s="91"/>
      <x:c r="M134" s="91"/>
      <x:c r="N134" s="91"/>
      <x:c r="O134" s="91"/>
      <x:c r="P134" s="91"/>
      <x:c r="Q134" s="91"/>
      <x:c r="R134" s="91"/>
      <x:c r="S134" s="91"/>
      <x:c r="T134" s="91"/>
      <x:c r="U134" s="26"/>
      <x:c r="V134" s="90"/>
      <x:c r="W134" s="89"/>
      <x:c r="X134" s="91"/>
      <x:c r="Y134" s="91"/>
      <x:c r="Z134" s="89"/>
      <x:c r="AA134" s="27"/>
      <x:c r="AB134" s="93"/>
      <x:c r="AC134" s="83"/>
      <x:c r="AD134" s="82"/>
      <x:c r="AE134" s="82"/>
      <x:c r="AF134" s="80"/>
      <x:c r="AG134" s="83"/>
    </x:row>
    <x:row r="135">
      <x:c r="A135" s="80"/>
      <x:c r="B135" s="25"/>
      <x:c r="C135" s="25"/>
      <x:c r="D135" s="80"/>
      <x:c r="E135" s="25"/>
      <x:c r="F135" s="89"/>
      <x:c r="G135" s="89"/>
      <x:c r="H135" s="89"/>
      <x:c r="I135" s="91"/>
      <x:c r="J135" s="91"/>
      <x:c r="K135" s="91"/>
      <x:c r="L135" s="91"/>
      <x:c r="M135" s="91"/>
      <x:c r="N135" s="91"/>
      <x:c r="O135" s="91"/>
      <x:c r="P135" s="91"/>
      <x:c r="Q135" s="91"/>
      <x:c r="R135" s="91"/>
      <x:c r="S135" s="91"/>
      <x:c r="T135" s="91"/>
      <x:c r="U135" s="26"/>
      <x:c r="V135" s="90"/>
      <x:c r="W135" s="89"/>
      <x:c r="X135" s="91"/>
      <x:c r="Y135" s="91"/>
      <x:c r="Z135" s="89"/>
      <x:c r="AA135" s="27"/>
      <x:c r="AB135" s="93"/>
      <x:c r="AC135" s="83"/>
      <x:c r="AD135" s="82"/>
      <x:c r="AE135" s="82"/>
      <x:c r="AF135" s="80"/>
      <x:c r="AG135" s="83"/>
    </x:row>
    <x:row r="136">
      <x:c r="A136" s="80"/>
      <x:c r="B136" s="25"/>
      <x:c r="C136" s="25"/>
      <x:c r="D136" s="80"/>
      <x:c r="E136" s="25"/>
      <x:c r="F136" s="89"/>
      <x:c r="G136" s="89"/>
      <x:c r="H136" s="89"/>
      <x:c r="I136" s="91"/>
      <x:c r="J136" s="91"/>
      <x:c r="K136" s="91"/>
      <x:c r="L136" s="91"/>
      <x:c r="M136" s="91"/>
      <x:c r="N136" s="91"/>
      <x:c r="O136" s="91"/>
      <x:c r="P136" s="91"/>
      <x:c r="Q136" s="91"/>
      <x:c r="R136" s="91"/>
      <x:c r="S136" s="91"/>
      <x:c r="T136" s="91"/>
      <x:c r="U136" s="26"/>
      <x:c r="V136" s="90"/>
      <x:c r="W136" s="89"/>
      <x:c r="X136" s="91"/>
      <x:c r="Y136" s="91"/>
      <x:c r="Z136" s="89"/>
      <x:c r="AA136" s="27"/>
      <x:c r="AB136" s="93"/>
      <x:c r="AC136" s="83"/>
      <x:c r="AD136" s="82"/>
      <x:c r="AE136" s="82"/>
      <x:c r="AF136" s="80"/>
      <x:c r="AG136" s="83"/>
    </x:row>
    <x:row r="137">
      <x:c r="A137" s="80"/>
      <x:c r="B137" s="25"/>
      <x:c r="C137" s="25"/>
      <x:c r="D137" s="80"/>
      <x:c r="E137" s="25"/>
      <x:c r="F137" s="89"/>
      <x:c r="G137" s="89"/>
      <x:c r="H137" s="89"/>
      <x:c r="I137" s="91"/>
      <x:c r="J137" s="91"/>
      <x:c r="K137" s="91"/>
      <x:c r="L137" s="91"/>
      <x:c r="M137" s="91"/>
      <x:c r="N137" s="91"/>
      <x:c r="O137" s="91"/>
      <x:c r="P137" s="91"/>
      <x:c r="Q137" s="91"/>
      <x:c r="R137" s="91"/>
      <x:c r="S137" s="91"/>
      <x:c r="T137" s="91"/>
      <x:c r="U137" s="26"/>
      <x:c r="V137" s="90"/>
      <x:c r="W137" s="89"/>
      <x:c r="X137" s="91"/>
      <x:c r="Y137" s="91"/>
      <x:c r="Z137" s="89"/>
      <x:c r="AA137" s="27"/>
      <x:c r="AB137" s="93"/>
      <x:c r="AC137" s="83"/>
      <x:c r="AD137" s="82"/>
      <x:c r="AE137" s="82"/>
      <x:c r="AF137" s="80"/>
      <x:c r="AG137" s="83"/>
    </x:row>
    <x:row r="138">
      <x:c r="A138" s="80"/>
      <x:c r="B138" s="25"/>
      <x:c r="C138" s="25"/>
      <x:c r="D138" s="80"/>
      <x:c r="E138" s="25"/>
      <x:c r="F138" s="89"/>
      <x:c r="G138" s="89"/>
      <x:c r="H138" s="89"/>
      <x:c r="I138" s="91"/>
      <x:c r="J138" s="91"/>
      <x:c r="K138" s="91"/>
      <x:c r="L138" s="91"/>
      <x:c r="M138" s="91"/>
      <x:c r="N138" s="91"/>
      <x:c r="O138" s="91"/>
      <x:c r="P138" s="91"/>
      <x:c r="Q138" s="91"/>
      <x:c r="R138" s="91"/>
      <x:c r="S138" s="91"/>
      <x:c r="T138" s="91"/>
      <x:c r="U138" s="26"/>
      <x:c r="V138" s="90"/>
      <x:c r="W138" s="89"/>
      <x:c r="X138" s="91"/>
      <x:c r="Y138" s="91"/>
      <x:c r="Z138" s="89"/>
      <x:c r="AA138" s="27"/>
      <x:c r="AB138" s="93"/>
      <x:c r="AC138" s="83"/>
      <x:c r="AD138" s="82"/>
      <x:c r="AE138" s="82"/>
      <x:c r="AF138" s="80"/>
      <x:c r="AG138" s="83"/>
    </x:row>
    <x:row r="139">
      <x:c r="A139" s="80"/>
      <x:c r="B139" s="25"/>
      <x:c r="C139" s="25"/>
      <x:c r="D139" s="80"/>
      <x:c r="E139" s="25"/>
      <x:c r="F139" s="89"/>
      <x:c r="G139" s="89"/>
      <x:c r="H139" s="89"/>
      <x:c r="I139" s="91"/>
      <x:c r="J139" s="91"/>
      <x:c r="K139" s="91"/>
      <x:c r="L139" s="91"/>
      <x:c r="M139" s="91"/>
      <x:c r="N139" s="91"/>
      <x:c r="O139" s="91"/>
      <x:c r="P139" s="91"/>
      <x:c r="Q139" s="91"/>
      <x:c r="R139" s="91"/>
      <x:c r="S139" s="91"/>
      <x:c r="T139" s="91"/>
      <x:c r="U139" s="26"/>
      <x:c r="V139" s="90"/>
      <x:c r="W139" s="89"/>
      <x:c r="X139" s="91"/>
      <x:c r="Y139" s="91"/>
      <x:c r="Z139" s="89"/>
      <x:c r="AA139" s="27"/>
      <x:c r="AB139" s="93"/>
      <x:c r="AC139" s="83"/>
      <x:c r="AD139" s="82"/>
      <x:c r="AE139" s="82"/>
      <x:c r="AF139" s="80"/>
      <x:c r="AG139" s="83"/>
    </x:row>
    <x:row r="140">
      <x:c r="A140" s="80"/>
      <x:c r="B140" s="25"/>
      <x:c r="C140" s="25"/>
      <x:c r="D140" s="80"/>
      <x:c r="E140" s="25"/>
      <x:c r="F140" s="89"/>
      <x:c r="G140" s="89"/>
      <x:c r="H140" s="89"/>
      <x:c r="I140" s="91"/>
      <x:c r="J140" s="91"/>
      <x:c r="K140" s="91"/>
      <x:c r="L140" s="91"/>
      <x:c r="M140" s="91"/>
      <x:c r="N140" s="91"/>
      <x:c r="O140" s="91"/>
      <x:c r="P140" s="91"/>
      <x:c r="Q140" s="91"/>
      <x:c r="R140" s="91"/>
      <x:c r="S140" s="91"/>
      <x:c r="T140" s="91"/>
      <x:c r="U140" s="26"/>
      <x:c r="V140" s="90"/>
      <x:c r="W140" s="89"/>
      <x:c r="X140" s="91"/>
      <x:c r="Y140" s="91"/>
      <x:c r="Z140" s="89"/>
      <x:c r="AA140" s="27"/>
      <x:c r="AB140" s="93"/>
      <x:c r="AC140" s="83"/>
      <x:c r="AD140" s="82"/>
      <x:c r="AE140" s="82"/>
      <x:c r="AF140" s="80"/>
      <x:c r="AG140" s="83"/>
    </x:row>
    <x:row r="141">
      <x:c r="A141" s="80"/>
      <x:c r="B141" s="25"/>
      <x:c r="C141" s="25"/>
      <x:c r="D141" s="80"/>
      <x:c r="E141" s="25"/>
      <x:c r="F141" s="89"/>
      <x:c r="G141" s="89"/>
      <x:c r="H141" s="89"/>
      <x:c r="I141" s="91"/>
      <x:c r="J141" s="91"/>
      <x:c r="K141" s="91"/>
      <x:c r="L141" s="91"/>
      <x:c r="M141" s="91"/>
      <x:c r="N141" s="91"/>
      <x:c r="O141" s="91"/>
      <x:c r="P141" s="91"/>
      <x:c r="Q141" s="91"/>
      <x:c r="R141" s="91"/>
      <x:c r="S141" s="91"/>
      <x:c r="T141" s="91"/>
      <x:c r="U141" s="26"/>
      <x:c r="V141" s="90"/>
      <x:c r="W141" s="89"/>
      <x:c r="X141" s="91"/>
      <x:c r="Y141" s="91"/>
      <x:c r="Z141" s="89"/>
      <x:c r="AA141" s="27"/>
      <x:c r="AB141" s="93"/>
      <x:c r="AC141" s="83"/>
      <x:c r="AD141" s="82"/>
      <x:c r="AE141" s="82"/>
      <x:c r="AF141" s="80"/>
      <x:c r="AG141" s="83"/>
    </x:row>
    <x:row r="142">
      <x:c r="A142" s="80"/>
      <x:c r="B142" s="25"/>
      <x:c r="C142" s="25"/>
      <x:c r="D142" s="80"/>
      <x:c r="E142" s="25"/>
      <x:c r="F142" s="89"/>
      <x:c r="G142" s="89"/>
      <x:c r="H142" s="89"/>
      <x:c r="I142" s="91"/>
      <x:c r="J142" s="91"/>
      <x:c r="K142" s="91"/>
      <x:c r="L142" s="91"/>
      <x:c r="M142" s="91"/>
      <x:c r="N142" s="91"/>
      <x:c r="O142" s="91"/>
      <x:c r="P142" s="91"/>
      <x:c r="Q142" s="91"/>
      <x:c r="R142" s="91"/>
      <x:c r="S142" s="91"/>
      <x:c r="T142" s="91"/>
      <x:c r="U142" s="26"/>
      <x:c r="V142" s="90"/>
      <x:c r="W142" s="89"/>
      <x:c r="X142" s="91"/>
      <x:c r="Y142" s="91"/>
      <x:c r="Z142" s="89"/>
      <x:c r="AA142" s="27"/>
      <x:c r="AB142" s="93"/>
      <x:c r="AC142" s="83"/>
      <x:c r="AD142" s="82"/>
      <x:c r="AE142" s="82"/>
      <x:c r="AF142" s="80"/>
      <x:c r="AG142" s="83"/>
    </x:row>
    <x:row r="143">
      <x:c r="A143" s="80"/>
      <x:c r="B143" s="25"/>
      <x:c r="C143" s="25"/>
      <x:c r="D143" s="80"/>
      <x:c r="E143" s="25"/>
      <x:c r="F143" s="89"/>
      <x:c r="G143" s="89"/>
      <x:c r="H143" s="89"/>
      <x:c r="I143" s="91"/>
      <x:c r="J143" s="91"/>
      <x:c r="K143" s="91"/>
      <x:c r="L143" s="91"/>
      <x:c r="M143" s="91"/>
      <x:c r="N143" s="91"/>
      <x:c r="O143" s="91"/>
      <x:c r="P143" s="91"/>
      <x:c r="Q143" s="91"/>
      <x:c r="R143" s="91"/>
      <x:c r="S143" s="91"/>
      <x:c r="T143" s="91"/>
      <x:c r="U143" s="26"/>
      <x:c r="V143" s="90"/>
      <x:c r="W143" s="89"/>
      <x:c r="X143" s="91"/>
      <x:c r="Y143" s="91"/>
      <x:c r="Z143" s="89"/>
      <x:c r="AA143" s="27"/>
      <x:c r="AB143" s="93"/>
      <x:c r="AC143" s="83"/>
      <x:c r="AD143" s="82"/>
      <x:c r="AE143" s="82"/>
      <x:c r="AF143" s="80"/>
      <x:c r="AG143" s="83"/>
    </x:row>
    <x:row r="144">
      <x:c r="A144" s="80"/>
      <x:c r="B144" s="25"/>
      <x:c r="C144" s="25"/>
      <x:c r="D144" s="80"/>
      <x:c r="E144" s="25"/>
      <x:c r="F144" s="89"/>
      <x:c r="G144" s="89"/>
      <x:c r="H144" s="89"/>
      <x:c r="I144" s="91"/>
      <x:c r="J144" s="91"/>
      <x:c r="K144" s="91"/>
      <x:c r="L144" s="91"/>
      <x:c r="M144" s="91"/>
      <x:c r="N144" s="91"/>
      <x:c r="O144" s="91"/>
      <x:c r="P144" s="91"/>
      <x:c r="Q144" s="91"/>
      <x:c r="R144" s="91"/>
      <x:c r="S144" s="91"/>
      <x:c r="T144" s="91"/>
      <x:c r="U144" s="26"/>
      <x:c r="V144" s="90"/>
      <x:c r="W144" s="89"/>
      <x:c r="X144" s="91"/>
      <x:c r="Y144" s="91"/>
      <x:c r="Z144" s="89"/>
      <x:c r="AA144" s="27"/>
      <x:c r="AB144" s="93"/>
      <x:c r="AC144" s="83"/>
      <x:c r="AD144" s="82"/>
      <x:c r="AE144" s="82"/>
      <x:c r="AF144" s="80"/>
      <x:c r="AG144" s="83"/>
    </x:row>
    <x:row r="145">
      <x:c r="A145" s="80"/>
      <x:c r="B145" s="25"/>
      <x:c r="C145" s="25"/>
      <x:c r="D145" s="80"/>
      <x:c r="E145" s="25"/>
      <x:c r="F145" s="89"/>
      <x:c r="G145" s="89"/>
      <x:c r="H145" s="89"/>
      <x:c r="I145" s="91"/>
      <x:c r="J145" s="91"/>
      <x:c r="K145" s="91"/>
      <x:c r="L145" s="91"/>
      <x:c r="M145" s="91"/>
      <x:c r="N145" s="91"/>
      <x:c r="O145" s="91"/>
      <x:c r="P145" s="91"/>
      <x:c r="Q145" s="91"/>
      <x:c r="R145" s="91"/>
      <x:c r="S145" s="91"/>
      <x:c r="T145" s="91"/>
      <x:c r="U145" s="26"/>
      <x:c r="V145" s="90"/>
      <x:c r="W145" s="89"/>
      <x:c r="X145" s="91"/>
      <x:c r="Y145" s="91"/>
      <x:c r="Z145" s="89"/>
      <x:c r="AA145" s="27"/>
      <x:c r="AB145" s="93"/>
      <x:c r="AC145" s="83"/>
      <x:c r="AD145" s="82"/>
      <x:c r="AE145" s="82"/>
      <x:c r="AF145" s="80"/>
      <x:c r="AG145" s="83"/>
    </x:row>
    <x:row r="146">
      <x:c r="A146" s="80"/>
      <x:c r="B146" s="25"/>
      <x:c r="C146" s="25"/>
      <x:c r="D146" s="80"/>
      <x:c r="E146" s="25"/>
      <x:c r="F146" s="89"/>
      <x:c r="G146" s="89"/>
      <x:c r="H146" s="89"/>
      <x:c r="I146" s="91"/>
      <x:c r="J146" s="91"/>
      <x:c r="K146" s="91"/>
      <x:c r="L146" s="91"/>
      <x:c r="M146" s="91"/>
      <x:c r="N146" s="91"/>
      <x:c r="O146" s="91"/>
      <x:c r="P146" s="91"/>
      <x:c r="Q146" s="91"/>
      <x:c r="R146" s="91"/>
      <x:c r="S146" s="91"/>
      <x:c r="T146" s="91"/>
      <x:c r="U146" s="26"/>
      <x:c r="V146" s="90"/>
      <x:c r="W146" s="89"/>
      <x:c r="X146" s="91"/>
      <x:c r="Y146" s="91"/>
      <x:c r="Z146" s="89"/>
      <x:c r="AA146" s="27"/>
      <x:c r="AB146" s="93"/>
      <x:c r="AC146" s="83"/>
      <x:c r="AD146" s="82"/>
      <x:c r="AE146" s="82"/>
      <x:c r="AF146" s="80"/>
      <x:c r="AG146" s="83"/>
    </x:row>
    <x:row r="147">
      <x:c r="A147" s="80"/>
      <x:c r="B147" s="25"/>
      <x:c r="C147" s="25"/>
      <x:c r="D147" s="80"/>
      <x:c r="E147" s="25"/>
      <x:c r="F147" s="89"/>
      <x:c r="G147" s="89"/>
      <x:c r="H147" s="89"/>
      <x:c r="I147" s="91"/>
      <x:c r="J147" s="91"/>
      <x:c r="K147" s="91"/>
      <x:c r="L147" s="91"/>
      <x:c r="M147" s="91"/>
      <x:c r="N147" s="91"/>
      <x:c r="O147" s="91"/>
      <x:c r="P147" s="91"/>
      <x:c r="Q147" s="91"/>
      <x:c r="R147" s="91"/>
      <x:c r="S147" s="91"/>
      <x:c r="T147" s="91"/>
      <x:c r="U147" s="26"/>
      <x:c r="V147" s="90"/>
      <x:c r="W147" s="89"/>
      <x:c r="X147" s="91"/>
      <x:c r="Y147" s="91"/>
      <x:c r="Z147" s="89"/>
      <x:c r="AA147" s="27"/>
      <x:c r="AB147" s="93"/>
      <x:c r="AC147" s="83"/>
      <x:c r="AD147" s="82"/>
      <x:c r="AE147" s="82"/>
      <x:c r="AF147" s="80"/>
      <x:c r="AG147" s="83"/>
    </x:row>
    <x:row r="148">
      <x:c r="A148" s="80"/>
      <x:c r="B148" s="25"/>
      <x:c r="C148" s="25"/>
      <x:c r="D148" s="80"/>
      <x:c r="E148" s="25"/>
      <x:c r="F148" s="89"/>
      <x:c r="G148" s="89"/>
      <x:c r="H148" s="89"/>
      <x:c r="I148" s="91"/>
      <x:c r="J148" s="91"/>
      <x:c r="K148" s="91"/>
      <x:c r="L148" s="91"/>
      <x:c r="M148" s="91"/>
      <x:c r="N148" s="91"/>
      <x:c r="O148" s="91"/>
      <x:c r="P148" s="91"/>
      <x:c r="Q148" s="91"/>
      <x:c r="R148" s="91"/>
      <x:c r="S148" s="91"/>
      <x:c r="T148" s="91"/>
      <x:c r="U148" s="26"/>
      <x:c r="V148" s="90"/>
      <x:c r="W148" s="89"/>
      <x:c r="X148" s="91"/>
      <x:c r="Y148" s="91"/>
      <x:c r="Z148" s="89"/>
      <x:c r="AA148" s="27"/>
      <x:c r="AB148" s="93"/>
      <x:c r="AC148" s="83"/>
      <x:c r="AD148" s="82"/>
      <x:c r="AE148" s="82"/>
      <x:c r="AF148" s="80"/>
      <x:c r="AG148" s="83"/>
    </x:row>
    <x:row r="149">
      <x:c r="A149" s="80"/>
      <x:c r="B149" s="25"/>
      <x:c r="C149" s="25"/>
      <x:c r="D149" s="80"/>
      <x:c r="E149" s="25"/>
      <x:c r="F149" s="89"/>
      <x:c r="G149" s="89"/>
      <x:c r="H149" s="89"/>
      <x:c r="I149" s="91"/>
      <x:c r="J149" s="91"/>
      <x:c r="K149" s="91"/>
      <x:c r="L149" s="91"/>
      <x:c r="M149" s="91"/>
      <x:c r="N149" s="91"/>
      <x:c r="O149" s="91"/>
      <x:c r="P149" s="91"/>
      <x:c r="Q149" s="91"/>
      <x:c r="R149" s="91"/>
      <x:c r="S149" s="91"/>
      <x:c r="T149" s="91"/>
      <x:c r="U149" s="26"/>
      <x:c r="V149" s="90"/>
      <x:c r="W149" s="89"/>
      <x:c r="X149" s="91"/>
      <x:c r="Y149" s="91"/>
      <x:c r="Z149" s="89"/>
      <x:c r="AA149" s="27"/>
      <x:c r="AB149" s="93"/>
      <x:c r="AC149" s="83"/>
      <x:c r="AD149" s="82"/>
      <x:c r="AE149" s="82"/>
      <x:c r="AF149" s="80"/>
      <x:c r="AG149" s="83"/>
    </x:row>
    <x:row r="150">
      <x:c r="A150" s="80"/>
      <x:c r="B150" s="25"/>
      <x:c r="C150" s="25"/>
      <x:c r="D150" s="80"/>
      <x:c r="E150" s="25"/>
      <x:c r="F150" s="89"/>
      <x:c r="G150" s="89"/>
      <x:c r="H150" s="89"/>
      <x:c r="I150" s="91"/>
      <x:c r="J150" s="91"/>
      <x:c r="K150" s="91"/>
      <x:c r="L150" s="91"/>
      <x:c r="M150" s="91"/>
      <x:c r="N150" s="91"/>
      <x:c r="O150" s="91"/>
      <x:c r="P150" s="91"/>
      <x:c r="Q150" s="91"/>
      <x:c r="R150" s="91"/>
      <x:c r="S150" s="91"/>
      <x:c r="T150" s="91"/>
      <x:c r="U150" s="26"/>
      <x:c r="V150" s="90"/>
      <x:c r="W150" s="89"/>
      <x:c r="X150" s="91"/>
      <x:c r="Y150" s="91"/>
      <x:c r="Z150" s="89"/>
      <x:c r="AA150" s="27"/>
      <x:c r="AB150" s="93"/>
      <x:c r="AC150" s="83"/>
      <x:c r="AD150" s="82"/>
      <x:c r="AE150" s="82"/>
      <x:c r="AF150" s="80"/>
      <x:c r="AG150" s="83"/>
    </x:row>
    <x:row r="151">
      <x:c r="A151" s="80"/>
      <x:c r="B151" s="25"/>
      <x:c r="C151" s="25"/>
      <x:c r="D151" s="80"/>
      <x:c r="E151" s="25"/>
      <x:c r="F151" s="89"/>
      <x:c r="G151" s="89"/>
      <x:c r="H151" s="89"/>
      <x:c r="I151" s="91"/>
      <x:c r="J151" s="91"/>
      <x:c r="K151" s="91"/>
      <x:c r="L151" s="91"/>
      <x:c r="M151" s="91"/>
      <x:c r="N151" s="91"/>
      <x:c r="O151" s="91"/>
      <x:c r="P151" s="91"/>
      <x:c r="Q151" s="91"/>
      <x:c r="R151" s="91"/>
      <x:c r="S151" s="91"/>
      <x:c r="T151" s="91"/>
      <x:c r="U151" s="26"/>
      <x:c r="V151" s="90"/>
      <x:c r="W151" s="89"/>
      <x:c r="X151" s="91"/>
      <x:c r="Y151" s="91"/>
      <x:c r="Z151" s="89"/>
      <x:c r="AA151" s="27"/>
      <x:c r="AB151" s="93"/>
      <x:c r="AC151" s="83"/>
      <x:c r="AD151" s="82"/>
      <x:c r="AE151" s="82"/>
      <x:c r="AF151" s="80"/>
      <x:c r="AG151" s="83"/>
    </x:row>
    <x:row r="152">
      <x:c r="A152" s="80"/>
      <x:c r="B152" s="25"/>
      <x:c r="C152" s="25"/>
      <x:c r="D152" s="80"/>
      <x:c r="E152" s="25"/>
      <x:c r="F152" s="89"/>
      <x:c r="G152" s="89"/>
      <x:c r="H152" s="89"/>
      <x:c r="I152" s="91"/>
      <x:c r="J152" s="91"/>
      <x:c r="K152" s="91"/>
      <x:c r="L152" s="91"/>
      <x:c r="M152" s="91"/>
      <x:c r="N152" s="91"/>
      <x:c r="O152" s="91"/>
      <x:c r="P152" s="91"/>
      <x:c r="Q152" s="91"/>
      <x:c r="R152" s="91"/>
      <x:c r="S152" s="91"/>
      <x:c r="T152" s="91"/>
      <x:c r="U152" s="26"/>
      <x:c r="V152" s="90"/>
      <x:c r="W152" s="89"/>
      <x:c r="X152" s="91"/>
      <x:c r="Y152" s="91"/>
      <x:c r="Z152" s="89"/>
      <x:c r="AA152" s="27"/>
      <x:c r="AB152" s="93"/>
      <x:c r="AC152" s="83"/>
      <x:c r="AD152" s="82"/>
      <x:c r="AE152" s="82"/>
      <x:c r="AF152" s="80"/>
      <x:c r="AG152" s="83"/>
    </x:row>
    <x:row r="153">
      <x:c r="A153" s="80"/>
      <x:c r="B153" s="25"/>
      <x:c r="C153" s="25"/>
      <x:c r="D153" s="80"/>
      <x:c r="E153" s="25"/>
      <x:c r="F153" s="89"/>
      <x:c r="G153" s="89"/>
      <x:c r="H153" s="89"/>
      <x:c r="I153" s="91"/>
      <x:c r="J153" s="91"/>
      <x:c r="K153" s="91"/>
      <x:c r="L153" s="91"/>
      <x:c r="M153" s="91"/>
      <x:c r="N153" s="91"/>
      <x:c r="O153" s="91"/>
      <x:c r="P153" s="91"/>
      <x:c r="Q153" s="91"/>
      <x:c r="R153" s="91"/>
      <x:c r="S153" s="91"/>
      <x:c r="T153" s="91"/>
      <x:c r="U153" s="26"/>
      <x:c r="V153" s="90"/>
      <x:c r="W153" s="89"/>
      <x:c r="X153" s="91"/>
      <x:c r="Y153" s="91"/>
      <x:c r="Z153" s="89"/>
      <x:c r="AA153" s="27"/>
      <x:c r="AB153" s="93"/>
      <x:c r="AC153" s="83"/>
      <x:c r="AD153" s="82"/>
      <x:c r="AE153" s="82"/>
      <x:c r="AF153" s="80"/>
      <x:c r="AG153" s="83"/>
    </x:row>
    <x:row r="154">
      <x:c r="A154" s="80"/>
      <x:c r="B154" s="25"/>
      <x:c r="C154" s="25"/>
      <x:c r="D154" s="80"/>
      <x:c r="E154" s="25"/>
      <x:c r="F154" s="89"/>
      <x:c r="G154" s="89"/>
      <x:c r="H154" s="89"/>
      <x:c r="I154" s="91"/>
      <x:c r="J154" s="91"/>
      <x:c r="K154" s="91"/>
      <x:c r="L154" s="91"/>
      <x:c r="M154" s="91"/>
      <x:c r="N154" s="91"/>
      <x:c r="O154" s="91"/>
      <x:c r="P154" s="91"/>
      <x:c r="Q154" s="91"/>
      <x:c r="R154" s="91"/>
      <x:c r="S154" s="91"/>
      <x:c r="T154" s="91"/>
      <x:c r="U154" s="26"/>
      <x:c r="V154" s="90"/>
      <x:c r="W154" s="89"/>
      <x:c r="X154" s="91"/>
      <x:c r="Y154" s="91"/>
      <x:c r="Z154" s="89"/>
      <x:c r="AA154" s="27"/>
      <x:c r="AB154" s="93"/>
      <x:c r="AC154" s="83"/>
      <x:c r="AD154" s="82"/>
      <x:c r="AE154" s="82"/>
      <x:c r="AF154" s="80"/>
      <x:c r="AG154" s="83"/>
    </x:row>
    <x:row r="155">
      <x:c r="A155" s="80"/>
      <x:c r="B155" s="25"/>
      <x:c r="C155" s="25"/>
      <x:c r="D155" s="80"/>
      <x:c r="E155" s="25"/>
      <x:c r="F155" s="89"/>
      <x:c r="G155" s="89"/>
      <x:c r="H155" s="89"/>
      <x:c r="I155" s="91"/>
      <x:c r="J155" s="91"/>
      <x:c r="K155" s="91"/>
      <x:c r="L155" s="91"/>
      <x:c r="M155" s="91"/>
      <x:c r="N155" s="91"/>
      <x:c r="O155" s="91"/>
      <x:c r="P155" s="91"/>
      <x:c r="Q155" s="91"/>
      <x:c r="R155" s="91"/>
      <x:c r="S155" s="91"/>
      <x:c r="T155" s="91"/>
      <x:c r="U155" s="26"/>
      <x:c r="V155" s="90"/>
      <x:c r="W155" s="89"/>
      <x:c r="X155" s="91"/>
      <x:c r="Y155" s="91"/>
      <x:c r="Z155" s="89"/>
      <x:c r="AA155" s="27"/>
      <x:c r="AB155" s="93"/>
      <x:c r="AC155" s="83"/>
      <x:c r="AD155" s="82"/>
      <x:c r="AE155" s="82"/>
      <x:c r="AF155" s="80"/>
      <x:c r="AG155" s="83"/>
    </x:row>
    <x:row r="156">
      <x:c r="A156" s="80"/>
      <x:c r="B156" s="25"/>
      <x:c r="C156" s="25"/>
      <x:c r="D156" s="80"/>
      <x:c r="E156" s="25"/>
      <x:c r="F156" s="89"/>
      <x:c r="G156" s="89"/>
      <x:c r="H156" s="89"/>
      <x:c r="I156" s="91"/>
      <x:c r="J156" s="91"/>
      <x:c r="K156" s="91"/>
      <x:c r="L156" s="91"/>
      <x:c r="M156" s="91"/>
      <x:c r="N156" s="91"/>
      <x:c r="O156" s="91"/>
      <x:c r="P156" s="91"/>
      <x:c r="Q156" s="91"/>
      <x:c r="R156" s="91"/>
      <x:c r="S156" s="91"/>
      <x:c r="T156" s="91"/>
      <x:c r="U156" s="26"/>
      <x:c r="V156" s="90"/>
      <x:c r="W156" s="89"/>
      <x:c r="X156" s="91"/>
      <x:c r="Y156" s="91"/>
      <x:c r="Z156" s="89"/>
      <x:c r="AA156" s="27"/>
      <x:c r="AB156" s="93"/>
      <x:c r="AC156" s="83"/>
      <x:c r="AD156" s="82"/>
      <x:c r="AE156" s="82"/>
      <x:c r="AF156" s="80"/>
      <x:c r="AG156" s="83"/>
    </x:row>
    <x:row r="157">
      <x:c r="A157" s="80"/>
      <x:c r="B157" s="25"/>
      <x:c r="C157" s="25"/>
      <x:c r="D157" s="80"/>
      <x:c r="E157" s="25"/>
      <x:c r="F157" s="89"/>
      <x:c r="G157" s="89"/>
      <x:c r="H157" s="89"/>
      <x:c r="I157" s="91"/>
      <x:c r="J157" s="91"/>
      <x:c r="K157" s="91"/>
      <x:c r="L157" s="91"/>
      <x:c r="M157" s="91"/>
      <x:c r="N157" s="91"/>
      <x:c r="O157" s="91"/>
      <x:c r="P157" s="91"/>
      <x:c r="Q157" s="91"/>
      <x:c r="R157" s="91"/>
      <x:c r="S157" s="91"/>
      <x:c r="T157" s="91"/>
      <x:c r="U157" s="26"/>
      <x:c r="V157" s="90"/>
      <x:c r="W157" s="89"/>
      <x:c r="X157" s="91"/>
      <x:c r="Y157" s="91"/>
      <x:c r="Z157" s="89"/>
      <x:c r="AA157" s="27"/>
      <x:c r="AB157" s="93"/>
      <x:c r="AC157" s="83"/>
      <x:c r="AD157" s="82"/>
      <x:c r="AE157" s="82"/>
      <x:c r="AF157" s="80"/>
      <x:c r="AG157" s="83"/>
    </x:row>
    <x:row r="158">
      <x:c r="A158" s="80"/>
      <x:c r="B158" s="25"/>
      <x:c r="C158" s="25"/>
      <x:c r="D158" s="80"/>
      <x:c r="E158" s="25"/>
      <x:c r="F158" s="89"/>
      <x:c r="G158" s="89"/>
      <x:c r="H158" s="89"/>
      <x:c r="I158" s="91"/>
      <x:c r="J158" s="91"/>
      <x:c r="K158" s="91"/>
      <x:c r="L158" s="91"/>
      <x:c r="M158" s="91"/>
      <x:c r="N158" s="91"/>
      <x:c r="O158" s="91"/>
      <x:c r="P158" s="91"/>
      <x:c r="Q158" s="91"/>
      <x:c r="R158" s="91"/>
      <x:c r="S158" s="91"/>
      <x:c r="T158" s="91"/>
      <x:c r="U158" s="26"/>
      <x:c r="V158" s="90"/>
      <x:c r="W158" s="89"/>
      <x:c r="X158" s="91"/>
      <x:c r="Y158" s="91"/>
      <x:c r="Z158" s="89"/>
      <x:c r="AA158" s="27"/>
      <x:c r="AB158" s="93"/>
      <x:c r="AC158" s="83"/>
      <x:c r="AD158" s="82"/>
      <x:c r="AE158" s="82"/>
      <x:c r="AF158" s="80"/>
      <x:c r="AG158" s="83"/>
    </x:row>
    <x:row r="159">
      <x:c r="A159" s="80"/>
      <x:c r="B159" s="25"/>
      <x:c r="C159" s="25"/>
      <x:c r="D159" s="80"/>
      <x:c r="E159" s="25"/>
      <x:c r="F159" s="89"/>
      <x:c r="G159" s="89"/>
      <x:c r="H159" s="89"/>
      <x:c r="I159" s="91"/>
      <x:c r="J159" s="91"/>
      <x:c r="K159" s="91"/>
      <x:c r="L159" s="91"/>
      <x:c r="M159" s="91"/>
      <x:c r="N159" s="91"/>
      <x:c r="O159" s="91"/>
      <x:c r="P159" s="91"/>
      <x:c r="Q159" s="91"/>
      <x:c r="R159" s="91"/>
      <x:c r="S159" s="91"/>
      <x:c r="T159" s="91"/>
      <x:c r="U159" s="26"/>
      <x:c r="V159" s="90"/>
      <x:c r="W159" s="89"/>
      <x:c r="X159" s="91"/>
      <x:c r="Y159" s="91"/>
      <x:c r="Z159" s="89"/>
      <x:c r="AA159" s="27"/>
      <x:c r="AB159" s="93"/>
      <x:c r="AC159" s="83"/>
      <x:c r="AD159" s="82"/>
      <x:c r="AE159" s="82"/>
      <x:c r="AF159" s="80"/>
      <x:c r="AG159" s="83"/>
    </x:row>
    <x:row r="160">
      <x:c r="A160" s="80"/>
      <x:c r="B160" s="25"/>
      <x:c r="C160" s="25"/>
      <x:c r="D160" s="80"/>
      <x:c r="E160" s="25"/>
      <x:c r="F160" s="89"/>
      <x:c r="G160" s="89"/>
      <x:c r="H160" s="89"/>
      <x:c r="I160" s="91"/>
      <x:c r="J160" s="91"/>
      <x:c r="K160" s="91"/>
      <x:c r="L160" s="91"/>
      <x:c r="M160" s="91"/>
      <x:c r="N160" s="91"/>
      <x:c r="O160" s="91"/>
      <x:c r="P160" s="91"/>
      <x:c r="Q160" s="91"/>
      <x:c r="R160" s="91"/>
      <x:c r="S160" s="91"/>
      <x:c r="T160" s="91"/>
      <x:c r="U160" s="26"/>
      <x:c r="V160" s="90"/>
      <x:c r="W160" s="89"/>
      <x:c r="X160" s="91"/>
      <x:c r="Y160" s="91"/>
      <x:c r="Z160" s="89"/>
      <x:c r="AA160" s="27"/>
      <x:c r="AB160" s="93"/>
      <x:c r="AC160" s="83"/>
      <x:c r="AD160" s="82"/>
      <x:c r="AE160" s="82"/>
      <x:c r="AF160" s="80"/>
      <x:c r="AG160" s="83"/>
    </x:row>
    <x:row r="161">
      <x:c r="A161" s="80"/>
      <x:c r="B161" s="25"/>
      <x:c r="C161" s="25"/>
      <x:c r="D161" s="80"/>
      <x:c r="E161" s="25"/>
      <x:c r="F161" s="89"/>
      <x:c r="G161" s="89"/>
      <x:c r="H161" s="89"/>
      <x:c r="I161" s="91"/>
      <x:c r="J161" s="91"/>
      <x:c r="K161" s="91"/>
      <x:c r="L161" s="91"/>
      <x:c r="M161" s="91"/>
      <x:c r="N161" s="91"/>
      <x:c r="O161" s="91"/>
      <x:c r="P161" s="91"/>
      <x:c r="Q161" s="91"/>
      <x:c r="R161" s="91"/>
      <x:c r="S161" s="91"/>
      <x:c r="T161" s="91"/>
      <x:c r="U161" s="26"/>
      <x:c r="V161" s="90"/>
      <x:c r="W161" s="89"/>
      <x:c r="X161" s="91"/>
      <x:c r="Y161" s="91"/>
      <x:c r="Z161" s="89"/>
      <x:c r="AA161" s="27"/>
      <x:c r="AB161" s="93"/>
      <x:c r="AC161" s="83"/>
      <x:c r="AD161" s="82"/>
      <x:c r="AE161" s="82"/>
      <x:c r="AF161" s="80"/>
      <x:c r="AG161" s="83"/>
    </x:row>
    <x:row r="162">
      <x:c r="A162" s="80"/>
      <x:c r="B162" s="25"/>
      <x:c r="C162" s="25"/>
      <x:c r="D162" s="80"/>
      <x:c r="E162" s="25"/>
      <x:c r="F162" s="89"/>
      <x:c r="G162" s="89"/>
      <x:c r="H162" s="89"/>
      <x:c r="I162" s="91"/>
      <x:c r="J162" s="91"/>
      <x:c r="K162" s="91"/>
      <x:c r="L162" s="91"/>
      <x:c r="M162" s="91"/>
      <x:c r="N162" s="91"/>
      <x:c r="O162" s="91"/>
      <x:c r="P162" s="91"/>
      <x:c r="Q162" s="91"/>
      <x:c r="R162" s="91"/>
      <x:c r="S162" s="91"/>
      <x:c r="T162" s="91"/>
      <x:c r="U162" s="26"/>
      <x:c r="V162" s="90"/>
      <x:c r="W162" s="89"/>
      <x:c r="X162" s="91"/>
      <x:c r="Y162" s="91"/>
      <x:c r="Z162" s="89"/>
      <x:c r="AA162" s="27"/>
      <x:c r="AB162" s="93"/>
      <x:c r="AC162" s="83"/>
      <x:c r="AD162" s="82"/>
      <x:c r="AE162" s="82"/>
      <x:c r="AF162" s="80"/>
      <x:c r="AG162" s="83"/>
    </x:row>
    <x:row r="163">
      <x:c r="A163" s="80"/>
      <x:c r="B163" s="25"/>
      <x:c r="C163" s="25"/>
      <x:c r="D163" s="80"/>
      <x:c r="E163" s="25"/>
      <x:c r="F163" s="89"/>
      <x:c r="G163" s="89"/>
      <x:c r="H163" s="89"/>
      <x:c r="I163" s="91"/>
      <x:c r="J163" s="91"/>
      <x:c r="K163" s="91"/>
      <x:c r="L163" s="91"/>
      <x:c r="M163" s="91"/>
      <x:c r="N163" s="91"/>
      <x:c r="O163" s="91"/>
      <x:c r="P163" s="91"/>
      <x:c r="Q163" s="91"/>
      <x:c r="R163" s="91"/>
      <x:c r="S163" s="91"/>
      <x:c r="T163" s="91"/>
      <x:c r="U163" s="26"/>
      <x:c r="V163" s="90"/>
      <x:c r="W163" s="89"/>
      <x:c r="X163" s="91"/>
      <x:c r="Y163" s="91"/>
      <x:c r="Z163" s="89"/>
      <x:c r="AA163" s="27"/>
      <x:c r="AB163" s="93"/>
      <x:c r="AC163" s="83"/>
      <x:c r="AD163" s="82"/>
      <x:c r="AE163" s="82"/>
      <x:c r="AF163" s="80"/>
      <x:c r="AG163" s="83"/>
    </x:row>
    <x:row r="164">
      <x:c r="A164" s="80"/>
      <x:c r="B164" s="25"/>
      <x:c r="C164" s="25"/>
      <x:c r="D164" s="80"/>
      <x:c r="E164" s="25"/>
      <x:c r="F164" s="89"/>
      <x:c r="G164" s="89"/>
      <x:c r="H164" s="89"/>
      <x:c r="I164" s="91"/>
      <x:c r="J164" s="91"/>
      <x:c r="K164" s="91"/>
      <x:c r="L164" s="91"/>
      <x:c r="M164" s="91"/>
      <x:c r="N164" s="91"/>
      <x:c r="O164" s="91"/>
      <x:c r="P164" s="91"/>
      <x:c r="Q164" s="91"/>
      <x:c r="R164" s="91"/>
      <x:c r="S164" s="91"/>
      <x:c r="T164" s="91"/>
      <x:c r="U164" s="26"/>
      <x:c r="V164" s="90"/>
      <x:c r="W164" s="89"/>
      <x:c r="X164" s="91"/>
      <x:c r="Y164" s="91"/>
      <x:c r="Z164" s="89"/>
      <x:c r="AA164" s="27"/>
      <x:c r="AB164" s="93"/>
      <x:c r="AC164" s="83"/>
      <x:c r="AD164" s="82"/>
      <x:c r="AE164" s="82"/>
      <x:c r="AF164" s="80"/>
      <x:c r="AG164" s="83"/>
    </x:row>
    <x:row r="165">
      <x:c r="A165" s="80"/>
      <x:c r="B165" s="25"/>
      <x:c r="C165" s="25"/>
      <x:c r="D165" s="80"/>
      <x:c r="E165" s="25"/>
      <x:c r="F165" s="89"/>
      <x:c r="G165" s="89"/>
      <x:c r="H165" s="89"/>
      <x:c r="I165" s="91"/>
      <x:c r="J165" s="91"/>
      <x:c r="K165" s="91"/>
      <x:c r="L165" s="91"/>
      <x:c r="M165" s="91"/>
      <x:c r="N165" s="91"/>
      <x:c r="O165" s="91"/>
      <x:c r="P165" s="91"/>
      <x:c r="Q165" s="91"/>
      <x:c r="R165" s="91"/>
      <x:c r="S165" s="91"/>
      <x:c r="T165" s="91"/>
      <x:c r="U165" s="26"/>
      <x:c r="V165" s="90"/>
      <x:c r="W165" s="89"/>
      <x:c r="X165" s="91"/>
      <x:c r="Y165" s="91"/>
      <x:c r="Z165" s="89"/>
      <x:c r="AA165" s="27"/>
      <x:c r="AB165" s="93"/>
      <x:c r="AC165" s="83"/>
      <x:c r="AD165" s="82"/>
      <x:c r="AE165" s="82"/>
      <x:c r="AF165" s="80"/>
      <x:c r="AG165" s="83"/>
    </x:row>
    <x:row r="166">
      <x:c r="A166" s="80"/>
      <x:c r="B166" s="25"/>
      <x:c r="C166" s="25"/>
      <x:c r="D166" s="80"/>
      <x:c r="E166" s="25"/>
      <x:c r="F166" s="89"/>
      <x:c r="G166" s="89"/>
      <x:c r="H166" s="89"/>
      <x:c r="I166" s="91"/>
      <x:c r="J166" s="91"/>
      <x:c r="K166" s="91"/>
      <x:c r="L166" s="91"/>
      <x:c r="M166" s="91"/>
      <x:c r="N166" s="91"/>
      <x:c r="O166" s="91"/>
      <x:c r="P166" s="91"/>
      <x:c r="Q166" s="91"/>
      <x:c r="R166" s="91"/>
      <x:c r="S166" s="91"/>
      <x:c r="T166" s="91"/>
      <x:c r="U166" s="26"/>
      <x:c r="V166" s="90"/>
      <x:c r="W166" s="89"/>
      <x:c r="X166" s="91"/>
      <x:c r="Y166" s="91"/>
      <x:c r="Z166" s="89"/>
      <x:c r="AA166" s="27"/>
      <x:c r="AB166" s="93"/>
      <x:c r="AC166" s="83"/>
      <x:c r="AD166" s="82"/>
      <x:c r="AE166" s="82"/>
      <x:c r="AF166" s="80"/>
      <x:c r="AG166" s="83"/>
    </x:row>
    <x:row r="167">
      <x:c r="A167" s="80"/>
      <x:c r="B167" s="25"/>
      <x:c r="C167" s="25"/>
      <x:c r="D167" s="80"/>
      <x:c r="E167" s="25"/>
      <x:c r="F167" s="89"/>
      <x:c r="G167" s="89"/>
      <x:c r="H167" s="89"/>
      <x:c r="I167" s="91"/>
      <x:c r="J167" s="91"/>
      <x:c r="K167" s="91"/>
      <x:c r="L167" s="91"/>
      <x:c r="M167" s="91"/>
      <x:c r="N167" s="91"/>
      <x:c r="O167" s="91"/>
      <x:c r="P167" s="91"/>
      <x:c r="Q167" s="91"/>
      <x:c r="R167" s="91"/>
      <x:c r="S167" s="91"/>
      <x:c r="T167" s="91"/>
      <x:c r="U167" s="26"/>
      <x:c r="V167" s="90"/>
      <x:c r="W167" s="89"/>
      <x:c r="X167" s="91"/>
      <x:c r="Y167" s="91"/>
      <x:c r="Z167" s="89"/>
      <x:c r="AA167" s="27"/>
      <x:c r="AB167" s="93"/>
      <x:c r="AC167" s="83"/>
      <x:c r="AD167" s="82"/>
      <x:c r="AE167" s="82"/>
      <x:c r="AF167" s="80"/>
      <x:c r="AG167" s="83"/>
    </x:row>
    <x:row r="168">
      <x:c r="A168" s="80"/>
      <x:c r="B168" s="25"/>
      <x:c r="C168" s="25"/>
      <x:c r="D168" s="80"/>
      <x:c r="E168" s="25"/>
      <x:c r="F168" s="89"/>
      <x:c r="G168" s="89"/>
      <x:c r="H168" s="89"/>
      <x:c r="I168" s="91"/>
      <x:c r="J168" s="91"/>
      <x:c r="K168" s="91"/>
      <x:c r="L168" s="91"/>
      <x:c r="M168" s="91"/>
      <x:c r="N168" s="91"/>
      <x:c r="O168" s="91"/>
      <x:c r="P168" s="91"/>
      <x:c r="Q168" s="91"/>
      <x:c r="R168" s="91"/>
      <x:c r="S168" s="91"/>
      <x:c r="T168" s="91"/>
      <x:c r="U168" s="26"/>
      <x:c r="V168" s="90"/>
      <x:c r="W168" s="89"/>
      <x:c r="X168" s="91"/>
      <x:c r="Y168" s="91"/>
      <x:c r="Z168" s="89"/>
      <x:c r="AA168" s="27"/>
      <x:c r="AB168" s="93"/>
      <x:c r="AC168" s="83"/>
      <x:c r="AD168" s="82"/>
      <x:c r="AE168" s="82"/>
      <x:c r="AF168" s="80"/>
      <x:c r="AG168" s="83"/>
    </x:row>
    <x:row r="169">
      <x:c r="A169" s="80"/>
      <x:c r="B169" s="25"/>
      <x:c r="C169" s="25"/>
      <x:c r="D169" s="80"/>
      <x:c r="E169" s="25"/>
      <x:c r="F169" s="89"/>
      <x:c r="G169" s="89"/>
      <x:c r="H169" s="89"/>
      <x:c r="I169" s="91"/>
      <x:c r="J169" s="91"/>
      <x:c r="K169" s="91"/>
      <x:c r="L169" s="91"/>
      <x:c r="M169" s="91"/>
      <x:c r="N169" s="91"/>
      <x:c r="O169" s="91"/>
      <x:c r="P169" s="91"/>
      <x:c r="Q169" s="91"/>
      <x:c r="R169" s="91"/>
      <x:c r="S169" s="91"/>
      <x:c r="T169" s="91"/>
      <x:c r="U169" s="26"/>
      <x:c r="V169" s="90"/>
      <x:c r="W169" s="89"/>
      <x:c r="X169" s="91"/>
      <x:c r="Y169" s="91"/>
      <x:c r="Z169" s="89"/>
      <x:c r="AA169" s="27"/>
      <x:c r="AB169" s="93"/>
      <x:c r="AC169" s="83"/>
      <x:c r="AD169" s="82"/>
      <x:c r="AE169" s="82"/>
      <x:c r="AF169" s="80"/>
      <x:c r="AG169" s="83"/>
    </x:row>
    <x:row r="170">
      <x:c r="A170" s="80"/>
      <x:c r="B170" s="25"/>
      <x:c r="C170" s="25"/>
      <x:c r="D170" s="80"/>
      <x:c r="E170" s="25"/>
      <x:c r="F170" s="89"/>
      <x:c r="G170" s="89"/>
      <x:c r="H170" s="89"/>
      <x:c r="I170" s="91"/>
      <x:c r="J170" s="91"/>
      <x:c r="K170" s="91"/>
      <x:c r="L170" s="91"/>
      <x:c r="M170" s="91"/>
      <x:c r="N170" s="91"/>
      <x:c r="O170" s="91"/>
      <x:c r="P170" s="91"/>
      <x:c r="Q170" s="91"/>
      <x:c r="R170" s="91"/>
      <x:c r="S170" s="91"/>
      <x:c r="T170" s="91"/>
      <x:c r="U170" s="26"/>
      <x:c r="V170" s="90"/>
      <x:c r="W170" s="89"/>
      <x:c r="X170" s="91"/>
      <x:c r="Y170" s="91"/>
      <x:c r="Z170" s="89"/>
      <x:c r="AA170" s="27"/>
      <x:c r="AB170" s="93"/>
      <x:c r="AC170" s="83"/>
      <x:c r="AD170" s="82"/>
      <x:c r="AE170" s="82"/>
      <x:c r="AF170" s="80"/>
      <x:c r="AG170" s="83"/>
    </x:row>
    <x:row r="171">
      <x:c r="A171" s="80"/>
      <x:c r="B171" s="25"/>
      <x:c r="C171" s="25"/>
      <x:c r="D171" s="80"/>
      <x:c r="E171" s="25"/>
      <x:c r="F171" s="89"/>
      <x:c r="G171" s="89"/>
      <x:c r="H171" s="89"/>
      <x:c r="I171" s="91"/>
      <x:c r="J171" s="91"/>
      <x:c r="K171" s="91"/>
      <x:c r="L171" s="91"/>
      <x:c r="M171" s="91"/>
      <x:c r="N171" s="91"/>
      <x:c r="O171" s="91"/>
      <x:c r="P171" s="91"/>
      <x:c r="Q171" s="91"/>
      <x:c r="R171" s="91"/>
      <x:c r="S171" s="91"/>
      <x:c r="T171" s="91"/>
      <x:c r="U171" s="26"/>
      <x:c r="V171" s="90"/>
      <x:c r="W171" s="89"/>
      <x:c r="X171" s="91"/>
      <x:c r="Y171" s="91"/>
      <x:c r="Z171" s="89"/>
      <x:c r="AA171" s="27"/>
      <x:c r="AB171" s="93"/>
      <x:c r="AC171" s="83"/>
      <x:c r="AD171" s="82"/>
      <x:c r="AE171" s="82"/>
      <x:c r="AF171" s="80"/>
      <x:c r="AG171" s="83"/>
    </x:row>
    <x:row r="172">
      <x:c r="A172" s="80"/>
      <x:c r="B172" s="25"/>
      <x:c r="C172" s="25"/>
      <x:c r="D172" s="80"/>
      <x:c r="E172" s="25"/>
      <x:c r="F172" s="89"/>
      <x:c r="G172" s="89"/>
      <x:c r="H172" s="89"/>
      <x:c r="I172" s="91"/>
      <x:c r="J172" s="91"/>
      <x:c r="K172" s="91"/>
      <x:c r="L172" s="91"/>
      <x:c r="M172" s="91"/>
      <x:c r="N172" s="91"/>
      <x:c r="O172" s="91"/>
      <x:c r="P172" s="91"/>
      <x:c r="Q172" s="91"/>
      <x:c r="R172" s="91"/>
      <x:c r="S172" s="91"/>
      <x:c r="T172" s="91"/>
      <x:c r="U172" s="26"/>
      <x:c r="V172" s="90"/>
      <x:c r="W172" s="89"/>
      <x:c r="X172" s="91"/>
      <x:c r="Y172" s="91"/>
      <x:c r="Z172" s="89"/>
      <x:c r="AA172" s="27"/>
      <x:c r="AB172" s="93"/>
      <x:c r="AC172" s="83"/>
      <x:c r="AD172" s="82"/>
      <x:c r="AE172" s="82"/>
      <x:c r="AF172" s="80"/>
      <x:c r="AG172" s="83"/>
    </x:row>
    <x:row r="173">
      <x:c r="A173" s="80"/>
      <x:c r="B173" s="25"/>
      <x:c r="C173" s="25"/>
      <x:c r="D173" s="80"/>
      <x:c r="E173" s="25"/>
      <x:c r="F173" s="89"/>
      <x:c r="G173" s="89"/>
      <x:c r="H173" s="89"/>
      <x:c r="I173" s="91"/>
      <x:c r="J173" s="91"/>
      <x:c r="K173" s="91"/>
      <x:c r="L173" s="91"/>
      <x:c r="M173" s="91"/>
      <x:c r="N173" s="91"/>
      <x:c r="O173" s="91"/>
      <x:c r="P173" s="91"/>
      <x:c r="Q173" s="91"/>
      <x:c r="R173" s="91"/>
      <x:c r="S173" s="91"/>
      <x:c r="T173" s="91"/>
      <x:c r="U173" s="26"/>
      <x:c r="V173" s="90"/>
      <x:c r="W173" s="89"/>
      <x:c r="X173" s="91"/>
      <x:c r="Y173" s="91"/>
      <x:c r="Z173" s="89"/>
      <x:c r="AA173" s="27"/>
      <x:c r="AB173" s="93"/>
      <x:c r="AC173" s="83"/>
      <x:c r="AD173" s="82"/>
      <x:c r="AE173" s="82"/>
      <x:c r="AF173" s="80"/>
      <x:c r="AG173" s="83"/>
    </x:row>
    <x:row r="174">
      <x:c r="A174" s="80"/>
      <x:c r="B174" s="25"/>
      <x:c r="C174" s="25"/>
      <x:c r="D174" s="80"/>
      <x:c r="E174" s="25"/>
      <x:c r="F174" s="89"/>
      <x:c r="G174" s="89"/>
      <x:c r="H174" s="89"/>
      <x:c r="I174" s="91"/>
      <x:c r="J174" s="91"/>
      <x:c r="K174" s="91"/>
      <x:c r="L174" s="91"/>
      <x:c r="M174" s="91"/>
      <x:c r="N174" s="91"/>
      <x:c r="O174" s="91"/>
      <x:c r="P174" s="91"/>
      <x:c r="Q174" s="91"/>
      <x:c r="R174" s="91"/>
      <x:c r="S174" s="91"/>
      <x:c r="T174" s="91"/>
      <x:c r="U174" s="26"/>
      <x:c r="V174" s="90"/>
      <x:c r="W174" s="89"/>
      <x:c r="X174" s="91"/>
      <x:c r="Y174" s="91"/>
      <x:c r="Z174" s="89"/>
      <x:c r="AA174" s="27"/>
      <x:c r="AB174" s="93"/>
      <x:c r="AC174" s="83"/>
      <x:c r="AD174" s="82"/>
      <x:c r="AE174" s="82"/>
      <x:c r="AF174" s="80"/>
      <x:c r="AG174" s="83"/>
    </x:row>
    <x:row r="175">
      <x:c r="A175" s="80"/>
      <x:c r="B175" s="25"/>
      <x:c r="C175" s="25"/>
      <x:c r="D175" s="80"/>
      <x:c r="E175" s="25"/>
      <x:c r="F175" s="89"/>
      <x:c r="G175" s="89"/>
      <x:c r="H175" s="89"/>
      <x:c r="I175" s="91"/>
      <x:c r="J175" s="91"/>
      <x:c r="K175" s="91"/>
      <x:c r="L175" s="91"/>
      <x:c r="M175" s="91"/>
      <x:c r="N175" s="91"/>
      <x:c r="O175" s="91"/>
      <x:c r="P175" s="91"/>
      <x:c r="Q175" s="91"/>
      <x:c r="R175" s="91"/>
      <x:c r="S175" s="91"/>
      <x:c r="T175" s="91"/>
      <x:c r="U175" s="26"/>
      <x:c r="V175" s="90"/>
      <x:c r="W175" s="89"/>
      <x:c r="X175" s="91"/>
      <x:c r="Y175" s="91"/>
      <x:c r="Z175" s="89"/>
      <x:c r="AA175" s="27"/>
      <x:c r="AB175" s="93"/>
      <x:c r="AC175" s="83"/>
      <x:c r="AD175" s="82"/>
      <x:c r="AE175" s="82"/>
      <x:c r="AF175" s="80"/>
      <x:c r="AG175" s="83"/>
    </x:row>
    <x:row r="176">
      <x:c r="A176" s="80"/>
      <x:c r="B176" s="25"/>
      <x:c r="C176" s="25"/>
      <x:c r="D176" s="80"/>
      <x:c r="E176" s="25"/>
      <x:c r="F176" s="89"/>
      <x:c r="G176" s="89"/>
      <x:c r="H176" s="89"/>
      <x:c r="I176" s="91"/>
      <x:c r="J176" s="91"/>
      <x:c r="K176" s="91"/>
      <x:c r="L176" s="91"/>
      <x:c r="M176" s="91"/>
      <x:c r="N176" s="91"/>
      <x:c r="O176" s="91"/>
      <x:c r="P176" s="91"/>
      <x:c r="Q176" s="91"/>
      <x:c r="R176" s="91"/>
      <x:c r="S176" s="91"/>
      <x:c r="T176" s="91"/>
      <x:c r="U176" s="26"/>
      <x:c r="V176" s="90"/>
      <x:c r="W176" s="89"/>
      <x:c r="X176" s="91"/>
      <x:c r="Y176" s="91"/>
      <x:c r="Z176" s="89"/>
      <x:c r="AA176" s="27"/>
      <x:c r="AB176" s="93"/>
      <x:c r="AC176" s="83"/>
      <x:c r="AD176" s="82"/>
      <x:c r="AE176" s="82"/>
      <x:c r="AF176" s="80"/>
      <x:c r="AG176" s="83"/>
    </x:row>
    <x:row r="177">
      <x:c r="A177" s="80"/>
      <x:c r="B177" s="25"/>
      <x:c r="C177" s="25"/>
      <x:c r="D177" s="80"/>
      <x:c r="E177" s="25"/>
      <x:c r="F177" s="89"/>
      <x:c r="G177" s="89"/>
      <x:c r="H177" s="89"/>
      <x:c r="I177" s="91"/>
      <x:c r="J177" s="91"/>
      <x:c r="K177" s="91"/>
      <x:c r="L177" s="91"/>
      <x:c r="M177" s="91"/>
      <x:c r="N177" s="91"/>
      <x:c r="O177" s="91"/>
      <x:c r="P177" s="91"/>
      <x:c r="Q177" s="91"/>
      <x:c r="R177" s="91"/>
      <x:c r="S177" s="91"/>
      <x:c r="T177" s="91"/>
      <x:c r="U177" s="26"/>
      <x:c r="V177" s="90"/>
      <x:c r="W177" s="89"/>
      <x:c r="X177" s="91"/>
      <x:c r="Y177" s="91"/>
      <x:c r="Z177" s="89"/>
      <x:c r="AA177" s="27"/>
      <x:c r="AB177" s="93"/>
      <x:c r="AC177" s="83"/>
      <x:c r="AD177" s="82"/>
      <x:c r="AE177" s="82"/>
      <x:c r="AF177" s="80"/>
      <x:c r="AG177" s="83"/>
    </x:row>
    <x:row r="178">
      <x:c r="A178" s="80"/>
      <x:c r="B178" s="25"/>
      <x:c r="C178" s="25"/>
      <x:c r="D178" s="80"/>
      <x:c r="E178" s="25"/>
      <x:c r="F178" s="89"/>
      <x:c r="G178" s="89"/>
      <x:c r="H178" s="89"/>
      <x:c r="I178" s="91"/>
      <x:c r="J178" s="91"/>
      <x:c r="K178" s="91"/>
      <x:c r="L178" s="91"/>
      <x:c r="M178" s="91"/>
      <x:c r="N178" s="91"/>
      <x:c r="O178" s="91"/>
      <x:c r="P178" s="91"/>
      <x:c r="Q178" s="91"/>
      <x:c r="R178" s="91"/>
      <x:c r="S178" s="91"/>
      <x:c r="T178" s="91"/>
      <x:c r="U178" s="26"/>
      <x:c r="V178" s="90"/>
      <x:c r="W178" s="89"/>
      <x:c r="X178" s="91"/>
      <x:c r="Y178" s="91"/>
      <x:c r="Z178" s="89"/>
      <x:c r="AA178" s="27"/>
      <x:c r="AB178" s="93"/>
      <x:c r="AC178" s="83"/>
      <x:c r="AD178" s="82"/>
      <x:c r="AE178" s="82"/>
      <x:c r="AF178" s="80"/>
      <x:c r="AG178" s="83"/>
    </x:row>
    <x:row r="179">
      <x:c r="A179" s="80"/>
      <x:c r="B179" s="25"/>
      <x:c r="C179" s="25"/>
      <x:c r="D179" s="80"/>
      <x:c r="E179" s="25"/>
      <x:c r="F179" s="89"/>
      <x:c r="G179" s="89"/>
      <x:c r="H179" s="89"/>
      <x:c r="I179" s="91"/>
      <x:c r="J179" s="91"/>
      <x:c r="K179" s="91"/>
      <x:c r="L179" s="91"/>
      <x:c r="M179" s="91"/>
      <x:c r="N179" s="91"/>
      <x:c r="O179" s="91"/>
      <x:c r="P179" s="91"/>
      <x:c r="Q179" s="91"/>
      <x:c r="R179" s="91"/>
      <x:c r="S179" s="91"/>
      <x:c r="T179" s="91"/>
      <x:c r="U179" s="26"/>
      <x:c r="V179" s="90"/>
      <x:c r="W179" s="89"/>
      <x:c r="X179" s="91"/>
      <x:c r="Y179" s="91"/>
      <x:c r="Z179" s="89"/>
      <x:c r="AA179" s="27"/>
      <x:c r="AB179" s="93"/>
      <x:c r="AC179" s="83"/>
      <x:c r="AD179" s="82"/>
      <x:c r="AE179" s="82"/>
      <x:c r="AF179" s="80"/>
      <x:c r="AG179" s="83"/>
    </x:row>
    <x:row r="180">
      <x:c r="A180" s="80"/>
      <x:c r="B180" s="25"/>
      <x:c r="C180" s="25"/>
      <x:c r="D180" s="80"/>
      <x:c r="E180" s="25"/>
      <x:c r="F180" s="89"/>
      <x:c r="G180" s="89"/>
      <x:c r="H180" s="89"/>
      <x:c r="I180" s="91"/>
      <x:c r="J180" s="91"/>
      <x:c r="K180" s="91"/>
      <x:c r="L180" s="91"/>
      <x:c r="M180" s="91"/>
      <x:c r="N180" s="91"/>
      <x:c r="O180" s="91"/>
      <x:c r="P180" s="91"/>
      <x:c r="Q180" s="91"/>
      <x:c r="R180" s="91"/>
      <x:c r="S180" s="91"/>
      <x:c r="T180" s="91"/>
      <x:c r="U180" s="26"/>
      <x:c r="V180" s="90"/>
      <x:c r="W180" s="89"/>
      <x:c r="X180" s="91"/>
      <x:c r="Y180" s="91"/>
      <x:c r="Z180" s="89"/>
      <x:c r="AA180" s="27"/>
      <x:c r="AB180" s="93"/>
      <x:c r="AC180" s="83"/>
      <x:c r="AD180" s="82"/>
      <x:c r="AE180" s="82"/>
      <x:c r="AF180" s="80"/>
      <x:c r="AG180" s="83"/>
    </x:row>
    <x:row r="181">
      <x:c r="A181" s="80"/>
      <x:c r="B181" s="25"/>
      <x:c r="C181" s="25"/>
      <x:c r="D181" s="80"/>
      <x:c r="E181" s="25"/>
      <x:c r="F181" s="89"/>
      <x:c r="G181" s="89"/>
      <x:c r="H181" s="89"/>
      <x:c r="I181" s="91"/>
      <x:c r="J181" s="91"/>
      <x:c r="K181" s="91"/>
      <x:c r="L181" s="91"/>
      <x:c r="M181" s="91"/>
      <x:c r="N181" s="91"/>
      <x:c r="O181" s="91"/>
      <x:c r="P181" s="91"/>
      <x:c r="Q181" s="91"/>
      <x:c r="R181" s="91"/>
      <x:c r="S181" s="91"/>
      <x:c r="T181" s="91"/>
      <x:c r="U181" s="26"/>
      <x:c r="V181" s="90"/>
      <x:c r="W181" s="89"/>
      <x:c r="X181" s="91"/>
      <x:c r="Y181" s="91"/>
      <x:c r="Z181" s="89"/>
      <x:c r="AA181" s="27"/>
      <x:c r="AB181" s="93"/>
      <x:c r="AC181" s="83"/>
      <x:c r="AD181" s="82"/>
      <x:c r="AE181" s="82"/>
      <x:c r="AF181" s="80"/>
      <x:c r="AG181" s="83"/>
    </x:row>
    <x:row r="182">
      <x:c r="A182" s="80"/>
      <x:c r="B182" s="25"/>
      <x:c r="C182" s="25"/>
      <x:c r="D182" s="80"/>
      <x:c r="E182" s="25"/>
      <x:c r="F182" s="89"/>
      <x:c r="G182" s="89"/>
      <x:c r="H182" s="89"/>
      <x:c r="I182" s="91"/>
      <x:c r="J182" s="91"/>
      <x:c r="K182" s="91"/>
      <x:c r="L182" s="91"/>
      <x:c r="M182" s="91"/>
      <x:c r="N182" s="91"/>
      <x:c r="O182" s="91"/>
      <x:c r="P182" s="91"/>
      <x:c r="Q182" s="91"/>
      <x:c r="R182" s="91"/>
      <x:c r="S182" s="91"/>
      <x:c r="T182" s="91"/>
      <x:c r="U182" s="26"/>
      <x:c r="V182" s="90"/>
      <x:c r="W182" s="89"/>
      <x:c r="X182" s="91"/>
      <x:c r="Y182" s="91"/>
      <x:c r="Z182" s="89"/>
      <x:c r="AA182" s="27"/>
      <x:c r="AB182" s="93"/>
      <x:c r="AC182" s="83"/>
      <x:c r="AD182" s="82"/>
      <x:c r="AE182" s="82"/>
      <x:c r="AF182" s="80"/>
      <x:c r="AG182" s="83"/>
    </x:row>
    <x:row r="183">
      <x:c r="A183" s="80"/>
      <x:c r="B183" s="25"/>
      <x:c r="C183" s="25"/>
      <x:c r="D183" s="80"/>
      <x:c r="E183" s="25"/>
      <x:c r="F183" s="89"/>
      <x:c r="G183" s="89"/>
      <x:c r="H183" s="89"/>
      <x:c r="I183" s="91"/>
      <x:c r="J183" s="91"/>
      <x:c r="K183" s="91"/>
      <x:c r="L183" s="91"/>
      <x:c r="M183" s="91"/>
      <x:c r="N183" s="91"/>
      <x:c r="O183" s="91"/>
      <x:c r="P183" s="91"/>
      <x:c r="Q183" s="91"/>
      <x:c r="R183" s="91"/>
      <x:c r="S183" s="91"/>
      <x:c r="T183" s="91"/>
      <x:c r="U183" s="26"/>
      <x:c r="V183" s="90"/>
      <x:c r="W183" s="89"/>
      <x:c r="X183" s="91"/>
      <x:c r="Y183" s="91"/>
      <x:c r="Z183" s="89"/>
      <x:c r="AA183" s="27"/>
      <x:c r="AB183" s="93"/>
      <x:c r="AC183" s="83"/>
      <x:c r="AD183" s="82"/>
      <x:c r="AE183" s="82"/>
      <x:c r="AF183" s="80"/>
      <x:c r="AG183" s="83"/>
    </x:row>
    <x:row r="184">
      <x:c r="A184" s="80"/>
      <x:c r="B184" s="25"/>
      <x:c r="C184" s="25"/>
      <x:c r="D184" s="80"/>
      <x:c r="E184" s="25"/>
      <x:c r="F184" s="89"/>
      <x:c r="G184" s="89"/>
      <x:c r="H184" s="89"/>
      <x:c r="I184" s="91"/>
      <x:c r="J184" s="91"/>
      <x:c r="K184" s="91"/>
      <x:c r="L184" s="91"/>
      <x:c r="M184" s="91"/>
      <x:c r="N184" s="91"/>
      <x:c r="O184" s="91"/>
      <x:c r="P184" s="91"/>
      <x:c r="Q184" s="91"/>
      <x:c r="R184" s="91"/>
      <x:c r="S184" s="91"/>
      <x:c r="T184" s="91"/>
      <x:c r="U184" s="26"/>
      <x:c r="V184" s="90"/>
      <x:c r="W184" s="89"/>
      <x:c r="X184" s="91"/>
      <x:c r="Y184" s="91"/>
      <x:c r="Z184" s="89"/>
      <x:c r="AA184" s="27"/>
      <x:c r="AB184" s="93"/>
      <x:c r="AC184" s="83"/>
      <x:c r="AD184" s="82"/>
      <x:c r="AE184" s="82"/>
      <x:c r="AF184" s="80"/>
      <x:c r="AG184" s="83"/>
    </x:row>
    <x:row r="185">
      <x:c r="A185" s="80"/>
      <x:c r="B185" s="25"/>
      <x:c r="C185" s="25"/>
      <x:c r="D185" s="80"/>
      <x:c r="E185" s="25"/>
      <x:c r="F185" s="89"/>
      <x:c r="G185" s="89"/>
      <x:c r="H185" s="89"/>
      <x:c r="I185" s="91"/>
      <x:c r="J185" s="91"/>
      <x:c r="K185" s="91"/>
      <x:c r="L185" s="91"/>
      <x:c r="M185" s="91"/>
      <x:c r="N185" s="91"/>
      <x:c r="O185" s="91"/>
      <x:c r="P185" s="91"/>
      <x:c r="Q185" s="91"/>
      <x:c r="R185" s="91"/>
      <x:c r="S185" s="91"/>
      <x:c r="T185" s="91"/>
      <x:c r="U185" s="26"/>
      <x:c r="V185" s="90"/>
      <x:c r="W185" s="89"/>
      <x:c r="X185" s="91"/>
      <x:c r="Y185" s="91"/>
      <x:c r="Z185" s="89"/>
      <x:c r="AA185" s="27"/>
      <x:c r="AB185" s="93"/>
      <x:c r="AC185" s="83"/>
      <x:c r="AD185" s="82"/>
      <x:c r="AE185" s="82"/>
      <x:c r="AF185" s="80"/>
      <x:c r="AG185" s="83"/>
    </x:row>
    <x:row r="186">
      <x:c r="A186" s="80"/>
      <x:c r="B186" s="25"/>
      <x:c r="C186" s="25"/>
      <x:c r="D186" s="80"/>
      <x:c r="E186" s="25"/>
      <x:c r="F186" s="89"/>
      <x:c r="G186" s="89"/>
      <x:c r="H186" s="89"/>
      <x:c r="I186" s="91"/>
      <x:c r="J186" s="91"/>
      <x:c r="K186" s="91"/>
      <x:c r="L186" s="91"/>
      <x:c r="M186" s="91"/>
      <x:c r="N186" s="91"/>
      <x:c r="O186" s="91"/>
      <x:c r="P186" s="91"/>
      <x:c r="Q186" s="91"/>
      <x:c r="R186" s="91"/>
      <x:c r="S186" s="91"/>
      <x:c r="T186" s="91"/>
      <x:c r="U186" s="26"/>
      <x:c r="V186" s="90"/>
      <x:c r="W186" s="89"/>
      <x:c r="X186" s="91"/>
      <x:c r="Y186" s="91"/>
      <x:c r="Z186" s="89"/>
      <x:c r="AA186" s="27"/>
      <x:c r="AB186" s="93"/>
      <x:c r="AC186" s="83"/>
      <x:c r="AD186" s="82"/>
      <x:c r="AE186" s="82"/>
      <x:c r="AF186" s="80"/>
      <x:c r="AG186" s="83"/>
    </x:row>
    <x:row r="187">
      <x:c r="A187" s="80"/>
      <x:c r="B187" s="25"/>
      <x:c r="C187" s="25"/>
      <x:c r="D187" s="80"/>
      <x:c r="E187" s="25"/>
      <x:c r="F187" s="89"/>
      <x:c r="G187" s="89"/>
      <x:c r="H187" s="89"/>
      <x:c r="I187" s="91"/>
      <x:c r="J187" s="91"/>
      <x:c r="K187" s="91"/>
      <x:c r="L187" s="91"/>
      <x:c r="M187" s="91"/>
      <x:c r="N187" s="91"/>
      <x:c r="O187" s="91"/>
      <x:c r="P187" s="91"/>
      <x:c r="Q187" s="91"/>
      <x:c r="R187" s="91"/>
      <x:c r="S187" s="91"/>
      <x:c r="T187" s="91"/>
      <x:c r="U187" s="26"/>
      <x:c r="V187" s="90"/>
      <x:c r="W187" s="89"/>
      <x:c r="X187" s="91"/>
      <x:c r="Y187" s="91"/>
      <x:c r="Z187" s="89"/>
      <x:c r="AA187" s="27"/>
      <x:c r="AB187" s="93"/>
      <x:c r="AC187" s="83"/>
      <x:c r="AD187" s="82"/>
      <x:c r="AE187" s="82"/>
      <x:c r="AF187" s="80"/>
      <x:c r="AG187" s="83"/>
    </x:row>
    <x:row r="188">
      <x:c r="A188" s="80"/>
      <x:c r="B188" s="25"/>
      <x:c r="C188" s="25"/>
      <x:c r="D188" s="80"/>
      <x:c r="E188" s="25"/>
      <x:c r="F188" s="89"/>
      <x:c r="G188" s="89"/>
      <x:c r="H188" s="89"/>
      <x:c r="I188" s="91"/>
      <x:c r="J188" s="91"/>
      <x:c r="K188" s="91"/>
      <x:c r="L188" s="91"/>
      <x:c r="M188" s="91"/>
      <x:c r="N188" s="91"/>
      <x:c r="O188" s="91"/>
      <x:c r="P188" s="91"/>
      <x:c r="Q188" s="91"/>
      <x:c r="R188" s="91"/>
      <x:c r="S188" s="91"/>
      <x:c r="T188" s="91"/>
      <x:c r="U188" s="26"/>
      <x:c r="V188" s="90"/>
      <x:c r="W188" s="89"/>
      <x:c r="X188" s="91"/>
      <x:c r="Y188" s="91"/>
      <x:c r="Z188" s="89"/>
      <x:c r="AA188" s="27"/>
      <x:c r="AB188" s="93"/>
      <x:c r="AC188" s="83"/>
      <x:c r="AD188" s="82"/>
      <x:c r="AE188" s="82"/>
      <x:c r="AF188" s="80"/>
      <x:c r="AG188" s="83"/>
    </x:row>
    <x:row r="189">
      <x:c r="A189" s="80"/>
      <x:c r="B189" s="25"/>
      <x:c r="C189" s="25"/>
      <x:c r="D189" s="80"/>
      <x:c r="E189" s="25"/>
      <x:c r="F189" s="89"/>
      <x:c r="G189" s="89"/>
      <x:c r="H189" s="89"/>
      <x:c r="I189" s="91"/>
      <x:c r="J189" s="91"/>
      <x:c r="K189" s="91"/>
      <x:c r="L189" s="91"/>
      <x:c r="M189" s="91"/>
      <x:c r="N189" s="91"/>
      <x:c r="O189" s="91"/>
      <x:c r="P189" s="91"/>
      <x:c r="Q189" s="91"/>
      <x:c r="R189" s="91"/>
      <x:c r="S189" s="91"/>
      <x:c r="T189" s="91"/>
      <x:c r="U189" s="26"/>
      <x:c r="V189" s="90"/>
      <x:c r="W189" s="89"/>
      <x:c r="X189" s="91"/>
      <x:c r="Y189" s="91"/>
      <x:c r="Z189" s="89"/>
      <x:c r="AA189" s="27"/>
      <x:c r="AB189" s="93"/>
      <x:c r="AC189" s="83"/>
      <x:c r="AD189" s="82"/>
      <x:c r="AE189" s="82"/>
      <x:c r="AF189" s="80"/>
      <x:c r="AG189" s="83"/>
    </x:row>
    <x:row r="190">
      <x:c r="A190" s="80"/>
      <x:c r="B190" s="25"/>
      <x:c r="C190" s="25"/>
      <x:c r="D190" s="80"/>
      <x:c r="E190" s="25"/>
      <x:c r="F190" s="89"/>
      <x:c r="G190" s="89"/>
      <x:c r="H190" s="89"/>
      <x:c r="I190" s="91"/>
      <x:c r="J190" s="91"/>
      <x:c r="K190" s="91"/>
      <x:c r="L190" s="91"/>
      <x:c r="M190" s="91"/>
      <x:c r="N190" s="91"/>
      <x:c r="O190" s="91"/>
      <x:c r="P190" s="91"/>
      <x:c r="Q190" s="91"/>
      <x:c r="R190" s="91"/>
      <x:c r="S190" s="91"/>
      <x:c r="T190" s="91"/>
      <x:c r="U190" s="26"/>
      <x:c r="V190" s="90"/>
      <x:c r="W190" s="89"/>
      <x:c r="X190" s="91"/>
      <x:c r="Y190" s="91"/>
      <x:c r="Z190" s="89"/>
      <x:c r="AA190" s="27"/>
      <x:c r="AB190" s="93"/>
      <x:c r="AC190" s="83"/>
      <x:c r="AD190" s="82"/>
      <x:c r="AE190" s="82"/>
      <x:c r="AF190" s="80"/>
      <x:c r="AG190" s="83"/>
    </x:row>
    <x:row r="191">
      <x:c r="A191" s="80"/>
      <x:c r="B191" s="25"/>
      <x:c r="C191" s="25"/>
      <x:c r="D191" s="80"/>
      <x:c r="E191" s="25"/>
      <x:c r="F191" s="89"/>
      <x:c r="G191" s="89"/>
      <x:c r="H191" s="89"/>
      <x:c r="I191" s="91"/>
      <x:c r="J191" s="91"/>
      <x:c r="K191" s="91"/>
      <x:c r="L191" s="91"/>
      <x:c r="M191" s="91"/>
      <x:c r="N191" s="91"/>
      <x:c r="O191" s="91"/>
      <x:c r="P191" s="91"/>
      <x:c r="Q191" s="91"/>
      <x:c r="R191" s="91"/>
      <x:c r="S191" s="91"/>
      <x:c r="T191" s="91"/>
      <x:c r="U191" s="26"/>
      <x:c r="V191" s="90"/>
      <x:c r="W191" s="89"/>
      <x:c r="X191" s="91"/>
      <x:c r="Y191" s="91"/>
      <x:c r="Z191" s="89"/>
      <x:c r="AA191" s="27"/>
      <x:c r="AB191" s="93"/>
      <x:c r="AC191" s="83"/>
      <x:c r="AD191" s="82"/>
      <x:c r="AE191" s="82"/>
      <x:c r="AF191" s="80"/>
      <x:c r="AG191" s="83"/>
    </x:row>
    <x:row r="192">
      <x:c r="A192" s="80"/>
      <x:c r="B192" s="25"/>
      <x:c r="C192" s="25"/>
      <x:c r="D192" s="80"/>
      <x:c r="E192" s="25"/>
      <x:c r="F192" s="89"/>
      <x:c r="G192" s="89"/>
      <x:c r="H192" s="89"/>
      <x:c r="I192" s="91"/>
      <x:c r="J192" s="91"/>
      <x:c r="K192" s="91"/>
      <x:c r="L192" s="91"/>
      <x:c r="M192" s="91"/>
      <x:c r="N192" s="91"/>
      <x:c r="O192" s="91"/>
      <x:c r="P192" s="91"/>
      <x:c r="Q192" s="91"/>
      <x:c r="R192" s="91"/>
      <x:c r="S192" s="91"/>
      <x:c r="T192" s="91"/>
      <x:c r="U192" s="26"/>
      <x:c r="V192" s="90"/>
      <x:c r="W192" s="89"/>
      <x:c r="X192" s="91"/>
      <x:c r="Y192" s="91"/>
      <x:c r="Z192" s="89"/>
      <x:c r="AA192" s="27"/>
      <x:c r="AB192" s="93"/>
      <x:c r="AC192" s="83"/>
      <x:c r="AD192" s="82"/>
      <x:c r="AE192" s="82"/>
      <x:c r="AF192" s="80"/>
      <x:c r="AG192" s="83"/>
    </x:row>
    <x:row r="193">
      <x:c r="A193" s="80"/>
      <x:c r="B193" s="25"/>
      <x:c r="C193" s="25"/>
      <x:c r="D193" s="80"/>
      <x:c r="E193" s="25"/>
      <x:c r="F193" s="89"/>
      <x:c r="G193" s="89"/>
      <x:c r="H193" s="89"/>
      <x:c r="I193" s="91"/>
      <x:c r="J193" s="91"/>
      <x:c r="K193" s="91"/>
      <x:c r="L193" s="91"/>
      <x:c r="M193" s="91"/>
      <x:c r="N193" s="91"/>
      <x:c r="O193" s="91"/>
      <x:c r="P193" s="91"/>
      <x:c r="Q193" s="91"/>
      <x:c r="R193" s="91"/>
      <x:c r="S193" s="91"/>
      <x:c r="T193" s="91"/>
      <x:c r="U193" s="26"/>
      <x:c r="V193" s="90"/>
      <x:c r="W193" s="89"/>
      <x:c r="X193" s="91"/>
      <x:c r="Y193" s="91"/>
      <x:c r="Z193" s="89"/>
      <x:c r="AA193" s="27"/>
      <x:c r="AB193" s="93"/>
      <x:c r="AC193" s="83"/>
      <x:c r="AD193" s="82"/>
      <x:c r="AE193" s="82"/>
      <x:c r="AF193" s="80"/>
      <x:c r="AG193" s="83"/>
    </x:row>
    <x:row r="194">
      <x:c r="A194" s="80"/>
      <x:c r="B194" s="25"/>
      <x:c r="C194" s="25"/>
      <x:c r="D194" s="80"/>
      <x:c r="E194" s="25"/>
      <x:c r="F194" s="89"/>
      <x:c r="G194" s="89"/>
      <x:c r="H194" s="89"/>
      <x:c r="I194" s="91"/>
      <x:c r="J194" s="91"/>
      <x:c r="K194" s="91"/>
      <x:c r="L194" s="91"/>
      <x:c r="M194" s="91"/>
      <x:c r="N194" s="91"/>
      <x:c r="O194" s="91"/>
      <x:c r="P194" s="91"/>
      <x:c r="Q194" s="91"/>
      <x:c r="R194" s="91"/>
      <x:c r="S194" s="91"/>
      <x:c r="T194" s="91"/>
      <x:c r="U194" s="26"/>
      <x:c r="V194" s="90"/>
      <x:c r="W194" s="89"/>
      <x:c r="X194" s="91"/>
      <x:c r="Y194" s="91"/>
      <x:c r="Z194" s="89"/>
      <x:c r="AA194" s="27"/>
      <x:c r="AB194" s="93"/>
      <x:c r="AC194" s="83"/>
      <x:c r="AD194" s="82"/>
      <x:c r="AE194" s="82"/>
      <x:c r="AF194" s="80"/>
      <x:c r="AG194" s="83"/>
    </x:row>
    <x:row r="195">
      <x:c r="A195" s="80"/>
      <x:c r="B195" s="25"/>
      <x:c r="C195" s="25"/>
      <x:c r="D195" s="80"/>
      <x:c r="E195" s="25"/>
      <x:c r="F195" s="89"/>
      <x:c r="G195" s="89"/>
      <x:c r="H195" s="89"/>
      <x:c r="I195" s="91"/>
      <x:c r="J195" s="91"/>
      <x:c r="K195" s="91"/>
      <x:c r="L195" s="91"/>
      <x:c r="M195" s="91"/>
      <x:c r="N195" s="91"/>
      <x:c r="O195" s="91"/>
      <x:c r="P195" s="91"/>
      <x:c r="Q195" s="91"/>
      <x:c r="R195" s="91"/>
      <x:c r="S195" s="91"/>
      <x:c r="T195" s="91"/>
      <x:c r="U195" s="26"/>
      <x:c r="V195" s="90"/>
      <x:c r="W195" s="89"/>
      <x:c r="X195" s="91"/>
      <x:c r="Y195" s="91"/>
      <x:c r="Z195" s="89"/>
      <x:c r="AA195" s="27"/>
      <x:c r="AB195" s="93"/>
      <x:c r="AC195" s="83"/>
      <x:c r="AD195" s="82"/>
      <x:c r="AE195" s="82"/>
      <x:c r="AF195" s="80"/>
      <x:c r="AG195" s="83"/>
    </x:row>
    <x:row r="196">
      <x:c r="A196" s="80"/>
      <x:c r="B196" s="25"/>
      <x:c r="C196" s="25"/>
      <x:c r="D196" s="80"/>
      <x:c r="E196" s="25"/>
      <x:c r="F196" s="89"/>
      <x:c r="G196" s="89"/>
      <x:c r="H196" s="89"/>
      <x:c r="I196" s="91"/>
      <x:c r="J196" s="91"/>
      <x:c r="K196" s="91"/>
      <x:c r="L196" s="91"/>
      <x:c r="M196" s="91"/>
      <x:c r="N196" s="91"/>
      <x:c r="O196" s="91"/>
      <x:c r="P196" s="91"/>
      <x:c r="Q196" s="91"/>
      <x:c r="R196" s="91"/>
      <x:c r="S196" s="91"/>
      <x:c r="T196" s="91"/>
      <x:c r="U196" s="26"/>
      <x:c r="V196" s="90"/>
      <x:c r="W196" s="89"/>
      <x:c r="X196" s="91"/>
      <x:c r="Y196" s="91"/>
      <x:c r="Z196" s="89"/>
      <x:c r="AA196" s="27"/>
      <x:c r="AB196" s="93"/>
      <x:c r="AC196" s="83"/>
      <x:c r="AD196" s="82"/>
      <x:c r="AE196" s="82"/>
      <x:c r="AF196" s="80"/>
      <x:c r="AG196" s="83"/>
    </x:row>
    <x:row r="197">
      <x:c r="A197" s="80"/>
      <x:c r="B197" s="25"/>
      <x:c r="C197" s="25"/>
      <x:c r="D197" s="80"/>
      <x:c r="E197" s="25"/>
      <x:c r="F197" s="89"/>
      <x:c r="G197" s="89"/>
      <x:c r="H197" s="89"/>
      <x:c r="I197" s="91"/>
      <x:c r="J197" s="91"/>
      <x:c r="K197" s="91"/>
      <x:c r="L197" s="91"/>
      <x:c r="M197" s="91"/>
      <x:c r="N197" s="91"/>
      <x:c r="O197" s="91"/>
      <x:c r="P197" s="91"/>
      <x:c r="Q197" s="91"/>
      <x:c r="R197" s="91"/>
      <x:c r="S197" s="91"/>
      <x:c r="T197" s="91"/>
      <x:c r="U197" s="26"/>
      <x:c r="V197" s="90"/>
      <x:c r="W197" s="89"/>
      <x:c r="X197" s="91"/>
      <x:c r="Y197" s="91"/>
      <x:c r="Z197" s="89"/>
      <x:c r="AA197" s="27"/>
      <x:c r="AB197" s="93"/>
      <x:c r="AC197" s="83"/>
      <x:c r="AD197" s="82"/>
      <x:c r="AE197" s="82"/>
      <x:c r="AF197" s="80"/>
      <x:c r="AG197" s="83"/>
    </x:row>
    <x:row r="198">
      <x:c r="A198" s="80"/>
      <x:c r="B198" s="25"/>
      <x:c r="C198" s="25"/>
      <x:c r="D198" s="80"/>
      <x:c r="E198" s="25"/>
      <x:c r="F198" s="89"/>
      <x:c r="G198" s="89"/>
      <x:c r="H198" s="89"/>
      <x:c r="I198" s="91"/>
      <x:c r="J198" s="91"/>
      <x:c r="K198" s="91"/>
      <x:c r="L198" s="91"/>
      <x:c r="M198" s="91"/>
      <x:c r="N198" s="91"/>
      <x:c r="O198" s="91"/>
      <x:c r="P198" s="91"/>
      <x:c r="Q198" s="91"/>
      <x:c r="R198" s="91"/>
      <x:c r="S198" s="91"/>
      <x:c r="T198" s="91"/>
      <x:c r="U198" s="26"/>
      <x:c r="V198" s="90"/>
      <x:c r="W198" s="89"/>
      <x:c r="X198" s="91"/>
      <x:c r="Y198" s="91"/>
      <x:c r="Z198" s="89"/>
      <x:c r="AA198" s="27"/>
      <x:c r="AB198" s="93"/>
      <x:c r="AC198" s="83"/>
      <x:c r="AD198" s="82"/>
      <x:c r="AE198" s="82"/>
      <x:c r="AF198" s="80"/>
      <x:c r="AG198" s="83"/>
    </x:row>
    <x:row r="199">
      <x:c r="A199" s="80"/>
      <x:c r="B199" s="25"/>
      <x:c r="C199" s="25"/>
      <x:c r="D199" s="80"/>
      <x:c r="E199" s="25"/>
      <x:c r="F199" s="89"/>
      <x:c r="G199" s="89"/>
      <x:c r="H199" s="89"/>
      <x:c r="I199" s="91"/>
      <x:c r="J199" s="91"/>
      <x:c r="K199" s="91"/>
      <x:c r="L199" s="91"/>
      <x:c r="M199" s="91"/>
      <x:c r="N199" s="91"/>
      <x:c r="O199" s="91"/>
      <x:c r="P199" s="91"/>
      <x:c r="Q199" s="91"/>
      <x:c r="R199" s="91"/>
      <x:c r="S199" s="91"/>
      <x:c r="T199" s="91"/>
      <x:c r="U199" s="26"/>
      <x:c r="V199" s="90"/>
      <x:c r="W199" s="89"/>
      <x:c r="X199" s="91"/>
      <x:c r="Y199" s="91"/>
      <x:c r="Z199" s="89"/>
      <x:c r="AA199" s="27"/>
      <x:c r="AB199" s="93"/>
      <x:c r="AC199" s="83"/>
      <x:c r="AD199" s="82"/>
      <x:c r="AE199" s="82"/>
      <x:c r="AF199" s="80"/>
      <x:c r="AG199" s="83"/>
    </x:row>
    <x:row r="200">
      <x:c r="A200" s="80"/>
      <x:c r="B200" s="25"/>
      <x:c r="C200" s="25"/>
      <x:c r="D200" s="80"/>
      <x:c r="E200" s="25"/>
      <x:c r="F200" s="89"/>
      <x:c r="G200" s="89"/>
      <x:c r="H200" s="89"/>
      <x:c r="I200" s="91"/>
      <x:c r="J200" s="91"/>
      <x:c r="K200" s="91"/>
      <x:c r="L200" s="91"/>
      <x:c r="M200" s="91"/>
      <x:c r="N200" s="91"/>
      <x:c r="O200" s="91"/>
      <x:c r="P200" s="91"/>
      <x:c r="Q200" s="91"/>
      <x:c r="R200" s="91"/>
      <x:c r="S200" s="91"/>
      <x:c r="T200" s="91"/>
      <x:c r="U200" s="26"/>
      <x:c r="V200" s="90"/>
      <x:c r="W200" s="89"/>
      <x:c r="X200" s="91"/>
      <x:c r="Y200" s="91"/>
      <x:c r="Z200" s="89"/>
      <x:c r="AA200" s="27"/>
      <x:c r="AB200" s="93"/>
      <x:c r="AC200" s="83"/>
      <x:c r="AD200" s="82"/>
      <x:c r="AE200" s="82"/>
      <x:c r="AF200" s="80"/>
      <x:c r="AG200" s="83"/>
    </x:row>
    <x:row r="201">
      <x:c r="A201" s="80"/>
      <x:c r="B201" s="25"/>
      <x:c r="C201" s="25"/>
      <x:c r="D201" s="80"/>
      <x:c r="E201" s="25"/>
      <x:c r="F201" s="89"/>
      <x:c r="G201" s="89"/>
      <x:c r="H201" s="89"/>
      <x:c r="I201" s="91"/>
      <x:c r="J201" s="91"/>
      <x:c r="K201" s="91"/>
      <x:c r="L201" s="91"/>
      <x:c r="M201" s="91"/>
      <x:c r="N201" s="91"/>
      <x:c r="O201" s="91"/>
      <x:c r="P201" s="91"/>
      <x:c r="Q201" s="91"/>
      <x:c r="R201" s="91"/>
      <x:c r="S201" s="91"/>
      <x:c r="T201" s="91"/>
      <x:c r="U201" s="26"/>
      <x:c r="V201" s="90"/>
      <x:c r="W201" s="89"/>
      <x:c r="X201" s="91"/>
      <x:c r="Y201" s="91"/>
      <x:c r="Z201" s="89"/>
      <x:c r="AA201" s="27"/>
      <x:c r="AB201" s="93"/>
      <x:c r="AC201" s="83"/>
      <x:c r="AD201" s="82"/>
      <x:c r="AE201" s="82"/>
      <x:c r="AF201" s="80"/>
      <x:c r="AG201" s="83"/>
    </x:row>
    <x:row r="202">
      <x:c r="A202" s="80"/>
      <x:c r="B202" s="25"/>
      <x:c r="C202" s="25"/>
      <x:c r="D202" s="80"/>
      <x:c r="E202" s="25"/>
      <x:c r="F202" s="89"/>
      <x:c r="G202" s="89"/>
      <x:c r="H202" s="89"/>
      <x:c r="I202" s="91"/>
      <x:c r="J202" s="91"/>
      <x:c r="K202" s="91"/>
      <x:c r="L202" s="91"/>
      <x:c r="M202" s="91"/>
      <x:c r="N202" s="91"/>
      <x:c r="O202" s="91"/>
      <x:c r="P202" s="91"/>
      <x:c r="Q202" s="91"/>
      <x:c r="R202" s="91"/>
      <x:c r="S202" s="91"/>
      <x:c r="T202" s="91"/>
      <x:c r="U202" s="26"/>
      <x:c r="V202" s="90"/>
      <x:c r="W202" s="89"/>
      <x:c r="X202" s="91"/>
      <x:c r="Y202" s="91"/>
      <x:c r="Z202" s="89"/>
      <x:c r="AA202" s="27"/>
      <x:c r="AB202" s="93"/>
      <x:c r="AC202" s="83"/>
      <x:c r="AD202" s="82"/>
      <x:c r="AE202" s="82"/>
      <x:c r="AF202" s="80"/>
      <x:c r="AG202" s="83"/>
    </x:row>
    <x:row r="203">
      <x:c r="A203" s="80"/>
      <x:c r="B203" s="25"/>
      <x:c r="C203" s="25"/>
      <x:c r="D203" s="80"/>
      <x:c r="E203" s="25"/>
      <x:c r="F203" s="89"/>
      <x:c r="G203" s="89"/>
      <x:c r="H203" s="89"/>
      <x:c r="I203" s="91"/>
      <x:c r="J203" s="91"/>
      <x:c r="K203" s="91"/>
      <x:c r="L203" s="91"/>
      <x:c r="M203" s="91"/>
      <x:c r="N203" s="91"/>
      <x:c r="O203" s="91"/>
      <x:c r="P203" s="91"/>
      <x:c r="Q203" s="91"/>
      <x:c r="R203" s="91"/>
      <x:c r="S203" s="91"/>
      <x:c r="T203" s="91"/>
      <x:c r="U203" s="26"/>
      <x:c r="V203" s="90"/>
      <x:c r="W203" s="89"/>
      <x:c r="X203" s="91"/>
      <x:c r="Y203" s="91"/>
      <x:c r="Z203" s="89"/>
      <x:c r="AA203" s="27"/>
      <x:c r="AB203" s="93"/>
      <x:c r="AC203" s="83"/>
      <x:c r="AD203" s="82"/>
      <x:c r="AE203" s="82"/>
      <x:c r="AF203" s="80"/>
      <x:c r="AG203" s="83"/>
    </x:row>
    <x:row r="204">
      <x:c r="A204" s="80"/>
      <x:c r="B204" s="25"/>
      <x:c r="C204" s="25"/>
      <x:c r="D204" s="80"/>
      <x:c r="E204" s="25"/>
      <x:c r="F204" s="89"/>
      <x:c r="G204" s="89"/>
      <x:c r="H204" s="89"/>
      <x:c r="I204" s="91"/>
      <x:c r="J204" s="91"/>
      <x:c r="K204" s="91"/>
      <x:c r="L204" s="91"/>
      <x:c r="M204" s="91"/>
      <x:c r="N204" s="91"/>
      <x:c r="O204" s="91"/>
      <x:c r="P204" s="91"/>
      <x:c r="Q204" s="91"/>
      <x:c r="R204" s="91"/>
      <x:c r="S204" s="91"/>
      <x:c r="T204" s="91"/>
      <x:c r="U204" s="26"/>
      <x:c r="V204" s="90"/>
      <x:c r="W204" s="89"/>
      <x:c r="X204" s="91"/>
      <x:c r="Y204" s="91"/>
      <x:c r="Z204" s="89"/>
      <x:c r="AA204" s="27"/>
      <x:c r="AB204" s="93"/>
      <x:c r="AC204" s="83"/>
      <x:c r="AD204" s="82"/>
      <x:c r="AE204" s="82"/>
      <x:c r="AF204" s="80"/>
      <x:c r="AG204" s="83"/>
    </x:row>
  </x:sheetData>
  <x:mergeCells>
    <x:mergeCell ref="A1:N1"/>
    <x:mergeCell ref="A2:N2"/>
  </x:mergeCells>
  <x:dataValidations count="27">
    <x:dataValidation type="list" sqref="B5:B204">
      <x:formula1>'Code Lists'!$A$5:$A$8</x:formula1>
    </x:dataValidation>
    <x:dataValidation type="list" sqref="C5:C204">
      <x:formula1>'Code Lists'!$C$5:$C$6</x:formula1>
    </x:dataValidation>
    <x:dataValidation type="list" sqref="E5:E204">
      <x:formula1>'Code Lists'!$I$5:$I$8</x:formula1>
    </x:dataValidation>
    <x:dataValidation type="list" sqref="AA5:AA204">
      <x:formula1>'Code Lists'!$K$5:$K$7</x:formula1>
    </x:dataValidation>
    <x:dataValidation type="decimal" operator="between" sqref="AB5:AB204">
      <x:formula1>0</x:formula1>
      <x:formula2>1</x:formula2>
    </x:dataValidation>
    <x:dataValidation type="whole" operator="between" sqref="F5:F204">
      <x:formula1>0</x:formula1>
      <x:formula2>1000000</x:formula2>
    </x:dataValidation>
    <x:dataValidation type="whole" operator="between" sqref="G5:G204">
      <x:formula1>0</x:formula1>
      <x:formula2>1000000</x:formula2>
    </x:dataValidation>
    <x:dataValidation type="whole" operator="between" sqref="H5:H204">
      <x:formula1>0</x:formula1>
      <x:formula2>1000000</x:formula2>
    </x:dataValidation>
    <x:dataValidation type="whole" operator="between" sqref="Z5:Z204">
      <x:formula1>0</x:formula1>
      <x:formula2>1000000</x:formula2>
    </x:dataValidation>
    <x:dataValidation type="decimal" operator="between" sqref="W5:W204">
      <x:formula1>0</x:formula1>
      <x:formula2>1000000</x:formula2>
    </x:dataValidation>
    <x:dataValidation type="decimal" operator="between" sqref="I5:I204">
      <x:formula1>0</x:formula1>
      <x:formula2>1</x:formula2>
    </x:dataValidation>
    <x:dataValidation type="decimal" operator="between" sqref="J5:J204">
      <x:formula1>0</x:formula1>
      <x:formula2>1</x:formula2>
    </x:dataValidation>
    <x:dataValidation type="decimal" operator="between" sqref="K5:K204">
      <x:formula1>0</x:formula1>
      <x:formula2>1</x:formula2>
    </x:dataValidation>
    <x:dataValidation type="decimal" operator="between" sqref="L5:L204">
      <x:formula1>0</x:formula1>
      <x:formula2>1</x:formula2>
    </x:dataValidation>
    <x:dataValidation type="decimal" operator="between" sqref="M5:M204">
      <x:formula1>0</x:formula1>
      <x:formula2>1</x:formula2>
    </x:dataValidation>
    <x:dataValidation type="decimal" operator="between" sqref="N5:N204">
      <x:formula1>0</x:formula1>
      <x:formula2>1</x:formula2>
    </x:dataValidation>
    <x:dataValidation type="decimal" operator="between" sqref="O5:O204">
      <x:formula1>0</x:formula1>
      <x:formula2>1</x:formula2>
    </x:dataValidation>
    <x:dataValidation type="decimal" operator="between" sqref="P5:P204">
      <x:formula1>0</x:formula1>
      <x:formula2>1</x:formula2>
    </x:dataValidation>
    <x:dataValidation type="decimal" operator="between" sqref="Q5:Q204">
      <x:formula1>0</x:formula1>
      <x:formula2>1</x:formula2>
    </x:dataValidation>
    <x:dataValidation type="decimal" operator="between" sqref="R5:R204">
      <x:formula1>0</x:formula1>
      <x:formula2>1</x:formula2>
    </x:dataValidation>
    <x:dataValidation type="decimal" operator="between" sqref="S5:S204">
      <x:formula1>0</x:formula1>
      <x:formula2>1</x:formula2>
    </x:dataValidation>
    <x:dataValidation type="decimal" operator="between" sqref="T5:T204">
      <x:formula1>0</x:formula1>
      <x:formula2>1</x:formula2>
    </x:dataValidation>
    <x:dataValidation type="decimal" operator="between" sqref="X5:X204">
      <x:formula1>0</x:formula1>
      <x:formula2>1</x:formula2>
    </x:dataValidation>
    <x:dataValidation type="decimal" operator="between" sqref="Y5:Y204">
      <x:formula1>0</x:formula1>
      <x:formula2>1</x:formula2>
    </x:dataValidation>
    <x:dataValidation type="decimal" operator="between" sqref="V5:V204">
      <x:formula1>0</x:formula1>
      <x:formula2>1000000000</x:formula2>
    </x:dataValidation>
    <x:dataValidation type="list" sqref="AC5:AC204">
      <x:formula1>'Code Lists'!$J$5:$J$6</x:formula1>
    </x:dataValidation>
    <x:dataValidation type="list" sqref="AG5:AG204">
      <x:formula1>'Code Lists'!$J$5:$J$6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740e583f844c78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  <x:selection pane="topRight" activeCell="C1" sqref="C1"/>
      <x:selection pane="bottomLeft" activeCell="A5" sqref="A5"/>
      <x:selection pane="bottomRight" activeCell="C5" sqref="C5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5" hidden="0" customWidth="1"/>
    <x:col min="6" max="6" width="15" hidden="0" customWidth="1"/>
    <x:col min="7" max="7" width="19" hidden="0" customWidth="1"/>
    <x:col min="8" max="8" width="15" hidden="0" customWidth="1"/>
    <x:col min="9" max="9" width="15" hidden="0" customWidth="1"/>
    <x:col min="10" max="10" width="15" hidden="0" customWidth="1"/>
    <x:col min="11" max="11" width="19" hidden="0" customWidth="1"/>
    <x:col min="12" max="12" width="24" hidden="0" customWidth="1"/>
    <x:col min="13" max="13" width="15" hidden="0" customWidth="1"/>
    <x:col min="14" max="14" width="15" hidden="0" customWidth="1"/>
    <x:col min="15" max="15" width="22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8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8" hidden="0" customWidth="1"/>
    <x:col min="31" max="31" width="24" hidden="0" customWidth="1"/>
    <x:col min="32" max="32" width="24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22" hidden="0" customWidth="1"/>
    <x:col min="43" max="43" width="15" hidden="0" customWidth="1"/>
    <x:col min="44" max="44" width="30" hidden="0" customWidth="1"/>
    <x:col min="45" max="45" width="22" hidden="0" customWidth="1"/>
    <x:col min="46" max="46" width="15" hidden="0" customWidth="1"/>
    <x:col min="47" max="47" width="15" hidden="0" customWidth="1"/>
    <x:col min="48" max="48" width="15" hidden="0" customWidth="1"/>
    <x:col min="49" max="49" width="24" hidden="0" customWidth="1"/>
    <x:col min="50" max="50" width="15" hidden="0" customWidth="1"/>
    <x:col min="51" max="51" width="18" hidden="0" customWidth="1"/>
    <x:col min="52" max="52" width="18" hidden="0" customWidth="1"/>
    <x:col min="53" max="53" width="30" hidden="0" customWidth="1"/>
    <x:col min="54" max="54" width="18" hidden="0" customWidth="1"/>
    <x:col min="55" max="55" width="19" hidden="0" customWidth="1"/>
    <x:col min="56" max="56" width="19" hidden="0" customWidth="1"/>
    <x:col min="57" max="57" width="19" hidden="0" customWidth="1"/>
    <x:col min="58" max="58" width="15" hidden="0" customWidth="1"/>
  </x:cols>
  <x:sheetData>
    <x:row r="1" ht="30" customHeight="1">
      <x:c r="A1" s="97" t="str">
        <x:v>DUMMY DATA ONLY - DO NOT COPY INTO THE FINAL TRAINING EXPORT</x:v>
      </x:c>
      <x:c r="B1" s="97"/>
      <x:c r="C1" s="97"/>
      <x:c r="D1" s="97"/>
      <x:c r="E1" s="97"/>
      <x:c r="F1" s="97"/>
      <x:c r="G1" s="97"/>
      <x:c r="H1" s="97"/>
      <x:c r="I1" s="97"/>
      <x:c r="J1" s="97"/>
      <x:c r="K1" s="97"/>
      <x:c r="L1" s="97"/>
      <x:c r="M1" s="97"/>
      <x:c r="N1" s="97"/>
    </x:row>
    <x:row r="2" ht="32" customHeight="1">
      <x:c r="A2" s="100" t="str">
        <x:v>Reviewed attempt-level examples. Reviewed source: LexiLand_Speech_Attempt_Collection_Dummy_Data.csv. All rows must retain is_dummy_data=1.</x:v>
      </x:c>
      <x:c r="B2" s="100"/>
      <x:c r="C2" s="100"/>
      <x:c r="D2" s="100"/>
      <x:c r="E2" s="100"/>
      <x:c r="F2" s="100"/>
      <x:c r="G2" s="100"/>
      <x:c r="H2" s="100"/>
      <x:c r="I2" s="100"/>
      <x:c r="J2" s="100"/>
      <x:c r="K2" s="100"/>
      <x:c r="L2" s="100"/>
      <x:c r="M2" s="100"/>
      <x:c r="N2" s="100"/>
    </x:row>
    <x:row r="4" ht="46" customHeight="1">
      <x:c r="A4" s="67" t="str">
        <x:v>attempt_id</x:v>
      </x:c>
      <x:c r="B4" s="67" t="str">
        <x:v>session_id</x:v>
      </x:c>
      <x:c r="C4" s="67" t="str">
        <x:v>student_id</x:v>
      </x:c>
      <x:c r="D4" s="67" t="str">
        <x:v>student_username</x:v>
      </x:c>
      <x:c r="E4" s="71" t="str">
        <x:v>grade</x:v>
      </x:c>
      <x:c r="F4" s="71" t="str">
        <x:v>mode</x:v>
      </x:c>
      <x:c r="G4" s="67" t="str">
        <x:v>activity_id</x:v>
      </x:c>
      <x:c r="H4" s="75" t="str">
        <x:v>game_type</x:v>
      </x:c>
      <x:c r="I4" s="75" t="str">
        <x:v>task_type</x:v>
      </x:c>
      <x:c r="J4" s="71" t="str">
        <x:v>task_family</x:v>
      </x:c>
      <x:c r="K4" s="67" t="str">
        <x:v>prompt_id</x:v>
      </x:c>
      <x:c r="L4" s="71" t="str">
        <x:v>target_text</x:v>
      </x:c>
      <x:c r="M4" s="87" t="str">
        <x:v>attempt_no</x:v>
      </x:c>
      <x:c r="N4" s="75" t="str">
        <x:v>valid_audio</x:v>
      </x:c>
      <x:c r="O4" s="75" t="str">
        <x:v>invalid_reason</x:v>
      </x:c>
      <x:c r="P4" s="87" t="str">
        <x:v>server_audio_duration_ms</x:v>
      </x:c>
      <x:c r="Q4" s="87" t="str">
        <x:v>speech_duration_sec</x:v>
      </x:c>
      <x:c r="R4" s="87" t="str">
        <x:v>silence_ratio</x:v>
      </x:c>
      <x:c r="S4" s="87" t="str">
        <x:v>pause_count</x:v>
      </x:c>
      <x:c r="T4" s="87" t="str">
        <x:v>audio_quality_score</x:v>
      </x:c>
      <x:c r="U4" s="75" t="str">
        <x:v>audio_quality_label</x:v>
      </x:c>
      <x:c r="V4" s="75" t="str">
        <x:v>word_reading_target_word</x:v>
      </x:c>
      <x:c r="W4" s="75" t="str">
        <x:v>word_reading_asr_text</x:v>
      </x:c>
      <x:c r="X4" s="75" t="str">
        <x:v>word_reading_correct</x:v>
      </x:c>
      <x:c r="Y4" s="87" t="str">
        <x:v>word_reading_edit_distance</x:v>
      </x:c>
      <x:c r="Z4" s="87" t="str">
        <x:v>word_reading_similarity_score</x:v>
      </x:c>
      <x:c r="AA4" s="87" t="str">
        <x:v>character_error_rate</x:v>
      </x:c>
      <x:c r="AB4" s="87" t="str">
        <x:v>word_error_rate</x:v>
      </x:c>
      <x:c r="AC4" s="75" t="str">
        <x:v>possible_error</x:v>
      </x:c>
      <x:c r="AD4" s="75" t="str">
        <x:v>phoneme_status</x:v>
      </x:c>
      <x:c r="AE4" s="75" t="str">
        <x:v>target_phonemes</x:v>
      </x:c>
      <x:c r="AF4" s="75" t="str">
        <x:v>asr_phonemes</x:v>
      </x:c>
      <x:c r="AG4" s="87" t="str">
        <x:v>phoneme_edit_distance</x:v>
      </x:c>
      <x:c r="AH4" s="87" t="str">
        <x:v>phoneme_error_rate</x:v>
      </x:c>
      <x:c r="AI4" s="75" t="str">
        <x:v>phoneme_initial_sound_error</x:v>
      </x:c>
      <x:c r="AJ4" s="75" t="str">
        <x:v>phoneme_final_sound_error</x:v>
      </x:c>
      <x:c r="AK4" s="75" t="str">
        <x:v>phoneme_vowel_mismatch</x:v>
      </x:c>
      <x:c r="AL4" s="75" t="str">
        <x:v>phoneme_consonant_cluster_error</x:v>
      </x:c>
      <x:c r="AM4" s="87" t="str">
        <x:v>phoneme_deletion_count</x:v>
      </x:c>
      <x:c r="AN4" s="87" t="str">
        <x:v>phoneme_insertion_count</x:v>
      </x:c>
      <x:c r="AO4" s="87" t="str">
        <x:v>phoneme_substitution_count</x:v>
      </x:c>
      <x:c r="AP4" s="75" t="str">
        <x:v>phoneme_error_pattern</x:v>
      </x:c>
      <x:c r="AQ4" s="87" t="str">
        <x:v>phoneme_confidence</x:v>
      </x:c>
      <x:c r="AR4" s="75" t="str">
        <x:v>phoneme_warnings</x:v>
      </x:c>
      <x:c r="AS4" s="75" t="str">
        <x:v>pronunciation_model_prediction</x:v>
      </x:c>
      <x:c r="AT4" s="87" t="str">
        <x:v>pronunciation_model_score</x:v>
      </x:c>
      <x:c r="AU4" s="87" t="str">
        <x:v>stars_earned</x:v>
      </x:c>
      <x:c r="AV4" s="79" t="str">
        <x:v>manual_item_correct</x:v>
      </x:c>
      <x:c r="AW4" s="79" t="str">
        <x:v>manual_teacher_transcript</x:v>
      </x:c>
      <x:c r="AX4" s="79" t="str">
        <x:v>manual_error_type</x:v>
      </x:c>
      <x:c r="AY4" s="79" t="str">
        <x:v>speech_support_label</x:v>
      </x:c>
      <x:c r="AZ4" s="79" t="str">
        <x:v>label_confidence</x:v>
      </x:c>
      <x:c r="BA4" s="79" t="str">
        <x:v>label_notes</x:v>
      </x:c>
      <x:c r="BB4" s="79" t="str">
        <x:v>labelled_by</x:v>
      </x:c>
      <x:c r="BC4" s="79" t="str">
        <x:v>labelled_at</x:v>
      </x:c>
      <x:c r="BD4" s="75" t="str">
        <x:v>created_at</x:v>
      </x:c>
      <x:c r="BE4" s="67" t="str">
        <x:v>participant_code</x:v>
      </x:c>
      <x:c r="BF4" s="75" t="str">
        <x:v>is_dummy_data</x:v>
      </x:c>
    </x:row>
    <x:row r="5">
      <x:c r="A5" s="101" t="str">
        <x:v>ATT-DUMMY-001</x:v>
      </x:c>
      <x:c r="B5" s="101" t="str">
        <x:v>SES-DUMMY-001</x:v>
      </x:c>
      <x:c r="C5" s="101" t="str">
        <x:v>STU-DUMMY-001</x:v>
      </x:c>
      <x:c r="D5" s="101" t="str">
        <x:v>dummy_g2_01</x:v>
      </x:c>
      <x:c r="E5" s="98" t="str">
        <x:v>2</x:v>
      </x:c>
      <x:c r="F5" s="98" t="str">
        <x:v>identification</x:v>
      </x:c>
      <x:c r="G5" s="101" t="str">
        <x:v>activity_identify_g2</x:v>
      </x:c>
      <x:c r="H5" s="98" t="str">
        <x:v>leo_word</x:v>
      </x:c>
      <x:c r="I5" s="98" t="str">
        <x:v>read_aloud_word</x:v>
      </x:c>
      <x:c r="J5" s="98" t="str">
        <x:v>word</x:v>
      </x:c>
      <x:c r="K5" s="101" t="str">
        <x:v>prompt_cat</x:v>
      </x:c>
      <x:c r="L5" s="98" t="str">
        <x:v>cat</x:v>
      </x:c>
      <x:c r="M5" s="102" t="n">
        <x:v>1</x:v>
      </x:c>
      <x:c r="N5" s="102" t="n">
        <x:v>1</x:v>
      </x:c>
      <x:c r="O5" s="98"/>
      <x:c r="P5" s="103" t="n">
        <x:v>1250</x:v>
      </x:c>
      <x:c r="Q5" s="103" t="n">
        <x:v>0.72</x:v>
      </x:c>
      <x:c r="R5" s="104" t="n">
        <x:v>0.12</x:v>
      </x:c>
      <x:c r="S5" s="102" t="n">
        <x:v>0</x:v>
      </x:c>
      <x:c r="T5" s="104" t="n">
        <x:v>0.96</x:v>
      </x:c>
      <x:c r="U5" s="98" t="str">
        <x:v>high</x:v>
      </x:c>
      <x:c r="V5" s="98" t="str">
        <x:v>cat</x:v>
      </x:c>
      <x:c r="W5" s="98" t="str">
        <x:v>cat</x:v>
      </x:c>
      <x:c r="X5" s="102" t="n">
        <x:v>1</x:v>
      </x:c>
      <x:c r="Y5" s="102" t="n">
        <x:v>0</x:v>
      </x:c>
      <x:c r="Z5" s="104" t="n">
        <x:v>1</x:v>
      </x:c>
      <x:c r="AA5" s="104" t="n">
        <x:v>0</x:v>
      </x:c>
      <x:c r="AB5" s="104" t="n">
        <x:v>0</x:v>
      </x:c>
      <x:c r="AC5" s="98" t="str">
        <x:v>none</x:v>
      </x:c>
      <x:c r="AD5" s="98" t="str">
        <x:v>completed</x:v>
      </x:c>
      <x:c r="AE5" s="98" t="str">
        <x:v>k ae t</x:v>
      </x:c>
      <x:c r="AF5" s="98" t="str">
        <x:v>k ae t</x:v>
      </x:c>
      <x:c r="AG5" s="102" t="n">
        <x:v>0</x:v>
      </x:c>
      <x:c r="AH5" s="104" t="n">
        <x:v>0</x:v>
      </x:c>
      <x:c r="AI5" s="102" t="n">
        <x:v>0</x:v>
      </x:c>
      <x:c r="AJ5" s="102" t="n">
        <x:v>0</x:v>
      </x:c>
      <x:c r="AK5" s="102" t="n">
        <x:v>0</x:v>
      </x:c>
      <x:c r="AL5" s="102" t="n">
        <x:v>0</x:v>
      </x:c>
      <x:c r="AM5" s="102" t="n">
        <x:v>0</x:v>
      </x:c>
      <x:c r="AN5" s="102" t="n">
        <x:v>0</x:v>
      </x:c>
      <x:c r="AO5" s="102" t="n">
        <x:v>0</x:v>
      </x:c>
      <x:c r="AP5" s="98" t="str">
        <x:v>none</x:v>
      </x:c>
      <x:c r="AQ5" s="104" t="n">
        <x:v>0.98</x:v>
      </x:c>
      <x:c r="AR5" s="98"/>
      <x:c r="AS5" s="98" t="str">
        <x:v>correct</x:v>
      </x:c>
      <x:c r="AT5" s="104" t="n">
        <x:v>0.96</x:v>
      </x:c>
      <x:c r="AU5" s="102" t="n">
        <x:v>3</x:v>
      </x:c>
      <x:c r="AV5" s="102" t="n">
        <x:v>1</x:v>
      </x:c>
      <x:c r="AW5" s="98" t="str">
        <x:v>cat</x:v>
      </x:c>
      <x:c r="AX5" s="98" t="str">
        <x:v>none</x:v>
      </x:c>
      <x:c r="AY5" s="98" t="str">
        <x:v>low_support</x:v>
      </x:c>
      <x:c r="AZ5" s="104" t="n">
        <x:v>0.95</x:v>
      </x:c>
      <x:c r="BA5" s="98" t="str">
        <x:v>dummy_example</x:v>
      </x:c>
      <x:c r="BB5" s="98" t="str">
        <x:v>DUMMY_LABELER</x:v>
      </x:c>
      <x:c r="BC5" s="105" t="n">
        <x:v>46244.333333333336</x:v>
      </x:c>
      <x:c r="BD5" s="105" t="n">
        <x:v>46244.33263888889</x:v>
      </x:c>
      <x:c r="BE5" s="101" t="str">
        <x:v>P-DUMMY-01</x:v>
      </x:c>
      <x:c r="BF5" s="102" t="n">
        <x:v>1</x:v>
      </x:c>
    </x:row>
    <x:row r="6">
      <x:c r="A6" s="101" t="str">
        <x:v>ATT-DUMMY-002</x:v>
      </x:c>
      <x:c r="B6" s="101" t="str">
        <x:v>SES-DUMMY-001</x:v>
      </x:c>
      <x:c r="C6" s="101" t="str">
        <x:v>STU-DUMMY-001</x:v>
      </x:c>
      <x:c r="D6" s="101" t="str">
        <x:v>dummy_g2_01</x:v>
      </x:c>
      <x:c r="E6" s="98" t="str">
        <x:v>2</x:v>
      </x:c>
      <x:c r="F6" s="98" t="str">
        <x:v>identification</x:v>
      </x:c>
      <x:c r="G6" s="101" t="str">
        <x:v>activity_identify_g2</x:v>
      </x:c>
      <x:c r="H6" s="98" t="str">
        <x:v>leo_pseudoword</x:v>
      </x:c>
      <x:c r="I6" s="98" t="str">
        <x:v>read_aloud_pseudoword</x:v>
      </x:c>
      <x:c r="J6" s="98" t="str">
        <x:v>pseudoword</x:v>
      </x:c>
      <x:c r="K6" s="101" t="str">
        <x:v>prompt_mip</x:v>
      </x:c>
      <x:c r="L6" s="98" t="str">
        <x:v>mip</x:v>
      </x:c>
      <x:c r="M6" s="102" t="n">
        <x:v>1</x:v>
      </x:c>
      <x:c r="N6" s="102" t="n">
        <x:v>1</x:v>
      </x:c>
      <x:c r="O6" s="98"/>
      <x:c r="P6" s="103" t="n">
        <x:v>1180</x:v>
      </x:c>
      <x:c r="Q6" s="103" t="n">
        <x:v>0.68</x:v>
      </x:c>
      <x:c r="R6" s="104" t="n">
        <x:v>0.14</x:v>
      </x:c>
      <x:c r="S6" s="102" t="n">
        <x:v>0</x:v>
      </x:c>
      <x:c r="T6" s="104" t="n">
        <x:v>0.93</x:v>
      </x:c>
      <x:c r="U6" s="98" t="str">
        <x:v>high</x:v>
      </x:c>
      <x:c r="V6" s="98" t="str">
        <x:v>mip</x:v>
      </x:c>
      <x:c r="W6" s="98" t="str">
        <x:v>mip</x:v>
      </x:c>
      <x:c r="X6" s="102" t="n">
        <x:v>1</x:v>
      </x:c>
      <x:c r="Y6" s="102" t="n">
        <x:v>0</x:v>
      </x:c>
      <x:c r="Z6" s="104" t="n">
        <x:v>1</x:v>
      </x:c>
      <x:c r="AA6" s="104" t="n">
        <x:v>0</x:v>
      </x:c>
      <x:c r="AB6" s="104" t="n">
        <x:v>0</x:v>
      </x:c>
      <x:c r="AC6" s="98" t="str">
        <x:v>none</x:v>
      </x:c>
      <x:c r="AD6" s="98" t="str">
        <x:v>completed</x:v>
      </x:c>
      <x:c r="AE6" s="98" t="str">
        <x:v>m ih p</x:v>
      </x:c>
      <x:c r="AF6" s="98" t="str">
        <x:v>m ih p</x:v>
      </x:c>
      <x:c r="AG6" s="102" t="n">
        <x:v>0</x:v>
      </x:c>
      <x:c r="AH6" s="104" t="n">
        <x:v>0</x:v>
      </x:c>
      <x:c r="AI6" s="102" t="n">
        <x:v>0</x:v>
      </x:c>
      <x:c r="AJ6" s="102" t="n">
        <x:v>0</x:v>
      </x:c>
      <x:c r="AK6" s="102" t="n">
        <x:v>0</x:v>
      </x:c>
      <x:c r="AL6" s="102" t="n">
        <x:v>0</x:v>
      </x:c>
      <x:c r="AM6" s="102" t="n">
        <x:v>0</x:v>
      </x:c>
      <x:c r="AN6" s="102" t="n">
        <x:v>0</x:v>
      </x:c>
      <x:c r="AO6" s="102" t="n">
        <x:v>0</x:v>
      </x:c>
      <x:c r="AP6" s="98" t="str">
        <x:v>none</x:v>
      </x:c>
      <x:c r="AQ6" s="104" t="n">
        <x:v>0.96</x:v>
      </x:c>
      <x:c r="AR6" s="98"/>
      <x:c r="AS6" s="98" t="str">
        <x:v>correct</x:v>
      </x:c>
      <x:c r="AT6" s="104" t="n">
        <x:v>0.94</x:v>
      </x:c>
      <x:c r="AU6" s="102" t="n">
        <x:v>3</x:v>
      </x:c>
      <x:c r="AV6" s="102" t="n">
        <x:v>1</x:v>
      </x:c>
      <x:c r="AW6" s="98" t="str">
        <x:v>mip</x:v>
      </x:c>
      <x:c r="AX6" s="98" t="str">
        <x:v>none</x:v>
      </x:c>
      <x:c r="AY6" s="98" t="str">
        <x:v>low_support</x:v>
      </x:c>
      <x:c r="AZ6" s="104" t="n">
        <x:v>0.95</x:v>
      </x:c>
      <x:c r="BA6" s="98" t="str">
        <x:v>dummy_example</x:v>
      </x:c>
      <x:c r="BB6" s="98" t="str">
        <x:v>DUMMY_LABELER</x:v>
      </x:c>
      <x:c r="BC6" s="105" t="n">
        <x:v>46244.333333333336</x:v>
      </x:c>
      <x:c r="BD6" s="105" t="n">
        <x:v>46244.33298611111</x:v>
      </x:c>
      <x:c r="BE6" s="101" t="str">
        <x:v>P-DUMMY-01</x:v>
      </x:c>
      <x:c r="BF6" s="102" t="n">
        <x:v>1</x:v>
      </x:c>
    </x:row>
    <x:row r="7">
      <x:c r="A7" s="101" t="str">
        <x:v>ATT-DUMMY-003</x:v>
      </x:c>
      <x:c r="B7" s="101" t="str">
        <x:v>SES-DUMMY-002</x:v>
      </x:c>
      <x:c r="C7" s="101" t="str">
        <x:v>STU-DUMMY-001</x:v>
      </x:c>
      <x:c r="D7" s="101" t="str">
        <x:v>dummy_g2_01</x:v>
      </x:c>
      <x:c r="E7" s="98" t="str">
        <x:v>2</x:v>
      </x:c>
      <x:c r="F7" s="98" t="str">
        <x:v>improvement</x:v>
      </x:c>
      <x:c r="G7" s="101" t="str">
        <x:v>activity_improve_g2</x:v>
      </x:c>
      <x:c r="H7" s="98" t="str">
        <x:v>leo_sentence</x:v>
      </x:c>
      <x:c r="I7" s="98" t="str">
        <x:v>read_aloud_sentence</x:v>
      </x:c>
      <x:c r="J7" s="98" t="str">
        <x:v>sentence</x:v>
      </x:c>
      <x:c r="K7" s="101" t="str">
        <x:v>prompt_sun</x:v>
      </x:c>
      <x:c r="L7" s="98" t="str">
        <x:v>the sun shines</x:v>
      </x:c>
      <x:c r="M7" s="102" t="n">
        <x:v>1</x:v>
      </x:c>
      <x:c r="N7" s="102" t="n">
        <x:v>1</x:v>
      </x:c>
      <x:c r="O7" s="98"/>
      <x:c r="P7" s="103" t="n">
        <x:v>2100</x:v>
      </x:c>
      <x:c r="Q7" s="103" t="n">
        <x:v>1.35</x:v>
      </x:c>
      <x:c r="R7" s="104" t="n">
        <x:v>0.18</x:v>
      </x:c>
      <x:c r="S7" s="102" t="n">
        <x:v>1</x:v>
      </x:c>
      <x:c r="T7" s="104" t="n">
        <x:v>0.9</x:v>
      </x:c>
      <x:c r="U7" s="98" t="str">
        <x:v>medium</x:v>
      </x:c>
      <x:c r="V7" s="98" t="str">
        <x:v>the sun shines</x:v>
      </x:c>
      <x:c r="W7" s="98" t="str">
        <x:v>the sun shines</x:v>
      </x:c>
      <x:c r="X7" s="102" t="n">
        <x:v>1</x:v>
      </x:c>
      <x:c r="Y7" s="102" t="n">
        <x:v>0</x:v>
      </x:c>
      <x:c r="Z7" s="104" t="n">
        <x:v>1</x:v>
      </x:c>
      <x:c r="AA7" s="104" t="n">
        <x:v>0</x:v>
      </x:c>
      <x:c r="AB7" s="104" t="n">
        <x:v>0</x:v>
      </x:c>
      <x:c r="AC7" s="98" t="str">
        <x:v>none</x:v>
      </x:c>
      <x:c r="AD7" s="98" t="str">
        <x:v>completed</x:v>
      </x:c>
      <x:c r="AE7" s="98" t="str">
        <x:v>dh ah s ah n sh ay n z</x:v>
      </x:c>
      <x:c r="AF7" s="98" t="str">
        <x:v>dh ah s ah n sh ay n z</x:v>
      </x:c>
      <x:c r="AG7" s="102" t="n">
        <x:v>0</x:v>
      </x:c>
      <x:c r="AH7" s="104" t="n">
        <x:v>0</x:v>
      </x:c>
      <x:c r="AI7" s="102" t="n">
        <x:v>0</x:v>
      </x:c>
      <x:c r="AJ7" s="102" t="n">
        <x:v>0</x:v>
      </x:c>
      <x:c r="AK7" s="102" t="n">
        <x:v>0</x:v>
      </x:c>
      <x:c r="AL7" s="102" t="n">
        <x:v>0</x:v>
      </x:c>
      <x:c r="AM7" s="102" t="n">
        <x:v>0</x:v>
      </x:c>
      <x:c r="AN7" s="102" t="n">
        <x:v>0</x:v>
      </x:c>
      <x:c r="AO7" s="102" t="n">
        <x:v>0</x:v>
      </x:c>
      <x:c r="AP7" s="98" t="str">
        <x:v>none</x:v>
      </x:c>
      <x:c r="AQ7" s="104" t="n">
        <x:v>0.93</x:v>
      </x:c>
      <x:c r="AR7" s="98"/>
      <x:c r="AS7" s="98" t="str">
        <x:v>correct</x:v>
      </x:c>
      <x:c r="AT7" s="104" t="n">
        <x:v>0.92</x:v>
      </x:c>
      <x:c r="AU7" s="102" t="n">
        <x:v>3</x:v>
      </x:c>
      <x:c r="AV7" s="102" t="n">
        <x:v>1</x:v>
      </x:c>
      <x:c r="AW7" s="98" t="str">
        <x:v>the sun shines</x:v>
      </x:c>
      <x:c r="AX7" s="98" t="str">
        <x:v>none</x:v>
      </x:c>
      <x:c r="AY7" s="98" t="str">
        <x:v>low_support</x:v>
      </x:c>
      <x:c r="AZ7" s="104" t="n">
        <x:v>0.92</x:v>
      </x:c>
      <x:c r="BA7" s="98" t="str">
        <x:v>dummy_example</x:v>
      </x:c>
      <x:c r="BB7" s="98" t="str">
        <x:v>DUMMY_LABELER</x:v>
      </x:c>
      <x:c r="BC7" s="105" t="n">
        <x:v>46244.34027777778</x:v>
      </x:c>
      <x:c r="BD7" s="105" t="n">
        <x:v>46244.339583333334</x:v>
      </x:c>
      <x:c r="BE7" s="101" t="str">
        <x:v>P-DUMMY-01</x:v>
      </x:c>
      <x:c r="BF7" s="102" t="n">
        <x:v>1</x:v>
      </x:c>
    </x:row>
    <x:row r="8">
      <x:c r="A8" s="101" t="str">
        <x:v>ATT-DUMMY-004</x:v>
      </x:c>
      <x:c r="B8" s="101" t="str">
        <x:v>SES-DUMMY-002</x:v>
      </x:c>
      <x:c r="C8" s="101" t="str">
        <x:v>STU-DUMMY-001</x:v>
      </x:c>
      <x:c r="D8" s="101" t="str">
        <x:v>dummy_g2_01</x:v>
      </x:c>
      <x:c r="E8" s="98" t="str">
        <x:v>2</x:v>
      </x:c>
      <x:c r="F8" s="98" t="str">
        <x:v>improvement</x:v>
      </x:c>
      <x:c r="G8" s="101" t="str">
        <x:v>activity_improve_g2</x:v>
      </x:c>
      <x:c r="H8" s="98" t="str">
        <x:v>leo_sentence</x:v>
      </x:c>
      <x:c r="I8" s="98" t="str">
        <x:v>read_aloud_sentence</x:v>
      </x:c>
      <x:c r="J8" s="98" t="str">
        <x:v>sentence</x:v>
      </x:c>
      <x:c r="K8" s="101" t="str">
        <x:v>prompt_sun</x:v>
      </x:c>
      <x:c r="L8" s="98" t="str">
        <x:v>the sun shines</x:v>
      </x:c>
      <x:c r="M8" s="102" t="n">
        <x:v>2</x:v>
      </x:c>
      <x:c r="N8" s="102" t="n">
        <x:v>1</x:v>
      </x:c>
      <x:c r="O8" s="98"/>
      <x:c r="P8" s="103" t="n">
        <x:v>2240</x:v>
      </x:c>
      <x:c r="Q8" s="103" t="n">
        <x:v>1.42</x:v>
      </x:c>
      <x:c r="R8" s="104" t="n">
        <x:v>0.2</x:v>
      </x:c>
      <x:c r="S8" s="102" t="n">
        <x:v>2</x:v>
      </x:c>
      <x:c r="T8" s="104" t="n">
        <x:v>0.88</x:v>
      </x:c>
      <x:c r="U8" s="98" t="str">
        <x:v>medium</x:v>
      </x:c>
      <x:c r="V8" s="98" t="str">
        <x:v>the sun shines</x:v>
      </x:c>
      <x:c r="W8" s="98" t="str">
        <x:v>the sun shines</x:v>
      </x:c>
      <x:c r="X8" s="102" t="n">
        <x:v>1</x:v>
      </x:c>
      <x:c r="Y8" s="102" t="n">
        <x:v>0</x:v>
      </x:c>
      <x:c r="Z8" s="104" t="n">
        <x:v>1</x:v>
      </x:c>
      <x:c r="AA8" s="104" t="n">
        <x:v>0</x:v>
      </x:c>
      <x:c r="AB8" s="104" t="n">
        <x:v>0</x:v>
      </x:c>
      <x:c r="AC8" s="98" t="str">
        <x:v>none</x:v>
      </x:c>
      <x:c r="AD8" s="98" t="str">
        <x:v>completed</x:v>
      </x:c>
      <x:c r="AE8" s="98" t="str">
        <x:v>dh ah s ah n sh ay n z</x:v>
      </x:c>
      <x:c r="AF8" s="98" t="str">
        <x:v>dh ah s ah n sh ay n z</x:v>
      </x:c>
      <x:c r="AG8" s="102" t="n">
        <x:v>0</x:v>
      </x:c>
      <x:c r="AH8" s="104" t="n">
        <x:v>0</x:v>
      </x:c>
      <x:c r="AI8" s="102" t="n">
        <x:v>0</x:v>
      </x:c>
      <x:c r="AJ8" s="102" t="n">
        <x:v>0</x:v>
      </x:c>
      <x:c r="AK8" s="102" t="n">
        <x:v>0</x:v>
      </x:c>
      <x:c r="AL8" s="102" t="n">
        <x:v>0</x:v>
      </x:c>
      <x:c r="AM8" s="102" t="n">
        <x:v>0</x:v>
      </x:c>
      <x:c r="AN8" s="102" t="n">
        <x:v>0</x:v>
      </x:c>
      <x:c r="AO8" s="102" t="n">
        <x:v>0</x:v>
      </x:c>
      <x:c r="AP8" s="98" t="str">
        <x:v>none</x:v>
      </x:c>
      <x:c r="AQ8" s="104" t="n">
        <x:v>0.91</x:v>
      </x:c>
      <x:c r="AR8" s="98" t="str">
        <x:v>retry</x:v>
      </x:c>
      <x:c r="AS8" s="98" t="str">
        <x:v>correct</x:v>
      </x:c>
      <x:c r="AT8" s="104" t="n">
        <x:v>0.9</x:v>
      </x:c>
      <x:c r="AU8" s="102" t="n">
        <x:v>3</x:v>
      </x:c>
      <x:c r="AV8" s="102" t="n">
        <x:v>1</x:v>
      </x:c>
      <x:c r="AW8" s="98" t="str">
        <x:v>the sun shines</x:v>
      </x:c>
      <x:c r="AX8" s="98" t="str">
        <x:v>none</x:v>
      </x:c>
      <x:c r="AY8" s="98" t="str">
        <x:v>low_support</x:v>
      </x:c>
      <x:c r="AZ8" s="104" t="n">
        <x:v>0.92</x:v>
      </x:c>
      <x:c r="BA8" s="98" t="str">
        <x:v>dummy_example</x:v>
      </x:c>
      <x:c r="BB8" s="98" t="str">
        <x:v>DUMMY_LABELER</x:v>
      </x:c>
      <x:c r="BC8" s="105" t="n">
        <x:v>46244.34027777778</x:v>
      </x:c>
      <x:c r="BD8" s="105" t="n">
        <x:v>46244.33993055556</x:v>
      </x:c>
      <x:c r="BE8" s="101" t="str">
        <x:v>P-DUMMY-01</x:v>
      </x:c>
      <x:c r="BF8" s="102" t="n">
        <x:v>1</x:v>
      </x:c>
    </x:row>
    <x:row r="9">
      <x:c r="A9" s="101" t="str">
        <x:v>ATT-DUMMY-005</x:v>
      </x:c>
      <x:c r="B9" s="101" t="str">
        <x:v>SES-DUMMY-003</x:v>
      </x:c>
      <x:c r="C9" s="101" t="str">
        <x:v>STU-DUMMY-002</x:v>
      </x:c>
      <x:c r="D9" s="101" t="str">
        <x:v>dummy_g3_02</x:v>
      </x:c>
      <x:c r="E9" s="98" t="str">
        <x:v>3</x:v>
      </x:c>
      <x:c r="F9" s="98" t="str">
        <x:v>identification</x:v>
      </x:c>
      <x:c r="G9" s="101" t="str">
        <x:v>activity_identify_g3</x:v>
      </x:c>
      <x:c r="H9" s="98" t="str">
        <x:v>leo_word</x:v>
      </x:c>
      <x:c r="I9" s="98" t="str">
        <x:v>read_aloud_word</x:v>
      </x:c>
      <x:c r="J9" s="98" t="str">
        <x:v>word</x:v>
      </x:c>
      <x:c r="K9" s="101" t="str">
        <x:v>prompt_ship</x:v>
      </x:c>
      <x:c r="L9" s="98" t="str">
        <x:v>ship</x:v>
      </x:c>
      <x:c r="M9" s="102" t="n">
        <x:v>1</x:v>
      </x:c>
      <x:c r="N9" s="102" t="n">
        <x:v>1</x:v>
      </x:c>
      <x:c r="O9" s="98"/>
      <x:c r="P9" s="103" t="n">
        <x:v>1350</x:v>
      </x:c>
      <x:c r="Q9" s="103" t="n">
        <x:v>0.8</x:v>
      </x:c>
      <x:c r="R9" s="104" t="n">
        <x:v>0.15</x:v>
      </x:c>
      <x:c r="S9" s="102" t="n">
        <x:v>1</x:v>
      </x:c>
      <x:c r="T9" s="104" t="n">
        <x:v>0.91</x:v>
      </x:c>
      <x:c r="U9" s="98" t="str">
        <x:v>high</x:v>
      </x:c>
      <x:c r="V9" s="98" t="str">
        <x:v>ship</x:v>
      </x:c>
      <x:c r="W9" s="98" t="str">
        <x:v>ship</x:v>
      </x:c>
      <x:c r="X9" s="102" t="n">
        <x:v>1</x:v>
      </x:c>
      <x:c r="Y9" s="102" t="n">
        <x:v>0</x:v>
      </x:c>
      <x:c r="Z9" s="104" t="n">
        <x:v>1</x:v>
      </x:c>
      <x:c r="AA9" s="104" t="n">
        <x:v>0</x:v>
      </x:c>
      <x:c r="AB9" s="104" t="n">
        <x:v>0</x:v>
      </x:c>
      <x:c r="AC9" s="98" t="str">
        <x:v>none</x:v>
      </x:c>
      <x:c r="AD9" s="98" t="str">
        <x:v>completed</x:v>
      </x:c>
      <x:c r="AE9" s="98" t="str">
        <x:v>sh ih p</x:v>
      </x:c>
      <x:c r="AF9" s="98" t="str">
        <x:v>sh ih p</x:v>
      </x:c>
      <x:c r="AG9" s="102" t="n">
        <x:v>0</x:v>
      </x:c>
      <x:c r="AH9" s="104" t="n">
        <x:v>0</x:v>
      </x:c>
      <x:c r="AI9" s="102" t="n">
        <x:v>0</x:v>
      </x:c>
      <x:c r="AJ9" s="102" t="n">
        <x:v>0</x:v>
      </x:c>
      <x:c r="AK9" s="102" t="n">
        <x:v>0</x:v>
      </x:c>
      <x:c r="AL9" s="102" t="n">
        <x:v>0</x:v>
      </x:c>
      <x:c r="AM9" s="102" t="n">
        <x:v>0</x:v>
      </x:c>
      <x:c r="AN9" s="102" t="n">
        <x:v>0</x:v>
      </x:c>
      <x:c r="AO9" s="102" t="n">
        <x:v>0</x:v>
      </x:c>
      <x:c r="AP9" s="98" t="str">
        <x:v>none</x:v>
      </x:c>
      <x:c r="AQ9" s="104" t="n">
        <x:v>0.95</x:v>
      </x:c>
      <x:c r="AR9" s="98"/>
      <x:c r="AS9" s="98" t="str">
        <x:v>correct</x:v>
      </x:c>
      <x:c r="AT9" s="104" t="n">
        <x:v>0.93</x:v>
      </x:c>
      <x:c r="AU9" s="102" t="n">
        <x:v>3</x:v>
      </x:c>
      <x:c r="AV9" s="102" t="n">
        <x:v>1</x:v>
      </x:c>
      <x:c r="AW9" s="98" t="str">
        <x:v>ship</x:v>
      </x:c>
      <x:c r="AX9" s="98" t="str">
        <x:v>none</x:v>
      </x:c>
      <x:c r="AY9" s="98" t="str">
        <x:v>medium_support</x:v>
      </x:c>
      <x:c r="AZ9" s="104" t="n">
        <x:v>0.86</x:v>
      </x:c>
      <x:c r="BA9" s="98" t="str">
        <x:v>dummy_example</x:v>
      </x:c>
      <x:c r="BB9" s="98" t="str">
        <x:v>DUMMY_LABELER</x:v>
      </x:c>
      <x:c r="BC9" s="105" t="n">
        <x:v>46244.34722222222</x:v>
      </x:c>
      <x:c r="BD9" s="105" t="n">
        <x:v>46244.34652777778</x:v>
      </x:c>
      <x:c r="BE9" s="101" t="str">
        <x:v>P-DUMMY-02</x:v>
      </x:c>
      <x:c r="BF9" s="102" t="n">
        <x:v>1</x:v>
      </x:c>
    </x:row>
    <x:row r="10">
      <x:c r="A10" s="101" t="str">
        <x:v>ATT-DUMMY-006</x:v>
      </x:c>
      <x:c r="B10" s="101" t="str">
        <x:v>SES-DUMMY-003</x:v>
      </x:c>
      <x:c r="C10" s="101" t="str">
        <x:v>STU-DUMMY-002</x:v>
      </x:c>
      <x:c r="D10" s="101" t="str">
        <x:v>dummy_g3_02</x:v>
      </x:c>
      <x:c r="E10" s="98" t="str">
        <x:v>3</x:v>
      </x:c>
      <x:c r="F10" s="98" t="str">
        <x:v>identification</x:v>
      </x:c>
      <x:c r="G10" s="101" t="str">
        <x:v>activity_identify_g3</x:v>
      </x:c>
      <x:c r="H10" s="98" t="str">
        <x:v>leo_pseudoword</x:v>
      </x:c>
      <x:c r="I10" s="98" t="str">
        <x:v>read_aloud_pseudoword</x:v>
      </x:c>
      <x:c r="J10" s="98" t="str">
        <x:v>pseudoword</x:v>
      </x:c>
      <x:c r="K10" s="101" t="str">
        <x:v>prompt_blaf</x:v>
      </x:c>
      <x:c r="L10" s="98" t="str">
        <x:v>blaf</x:v>
      </x:c>
      <x:c r="M10" s="102" t="n">
        <x:v>1</x:v>
      </x:c>
      <x:c r="N10" s="102" t="n">
        <x:v>1</x:v>
      </x:c>
      <x:c r="O10" s="98"/>
      <x:c r="P10" s="103" t="n">
        <x:v>1410</x:v>
      </x:c>
      <x:c r="Q10" s="103" t="n">
        <x:v>0.87</x:v>
      </x:c>
      <x:c r="R10" s="104" t="n">
        <x:v>0.19</x:v>
      </x:c>
      <x:c r="S10" s="102" t="n">
        <x:v>2</x:v>
      </x:c>
      <x:c r="T10" s="104" t="n">
        <x:v>0.86</x:v>
      </x:c>
      <x:c r="U10" s="98" t="str">
        <x:v>medium</x:v>
      </x:c>
      <x:c r="V10" s="98" t="str">
        <x:v>blaf</x:v>
      </x:c>
      <x:c r="W10" s="98" t="str">
        <x:v>baf</x:v>
      </x:c>
      <x:c r="X10" s="102" t="n">
        <x:v>0</x:v>
      </x:c>
      <x:c r="Y10" s="102" t="n">
        <x:v>1</x:v>
      </x:c>
      <x:c r="Z10" s="104" t="n">
        <x:v>0.75</x:v>
      </x:c>
      <x:c r="AA10" s="104" t="n">
        <x:v>0.25</x:v>
      </x:c>
      <x:c r="AB10" s="104" t="n">
        <x:v>1</x:v>
      </x:c>
      <x:c r="AC10" s="98" t="str">
        <x:v>initial_sound_error</x:v>
      </x:c>
      <x:c r="AD10" s="98" t="str">
        <x:v>completed</x:v>
      </x:c>
      <x:c r="AE10" s="98" t="str">
        <x:v>b l ae f</x:v>
      </x:c>
      <x:c r="AF10" s="98" t="str">
        <x:v>b ae f</x:v>
      </x:c>
      <x:c r="AG10" s="102" t="n">
        <x:v>1</x:v>
      </x:c>
      <x:c r="AH10" s="104" t="n">
        <x:v>0.25</x:v>
      </x:c>
      <x:c r="AI10" s="102" t="n">
        <x:v>1</x:v>
      </x:c>
      <x:c r="AJ10" s="102" t="n">
        <x:v>0</x:v>
      </x:c>
      <x:c r="AK10" s="102" t="n">
        <x:v>0</x:v>
      </x:c>
      <x:c r="AL10" s="102" t="n">
        <x:v>1</x:v>
      </x:c>
      <x:c r="AM10" s="102" t="n">
        <x:v>1</x:v>
      </x:c>
      <x:c r="AN10" s="102" t="n">
        <x:v>0</x:v>
      </x:c>
      <x:c r="AO10" s="102" t="n">
        <x:v>0</x:v>
      </x:c>
      <x:c r="AP10" s="98" t="str">
        <x:v>initial_deletion</x:v>
      </x:c>
      <x:c r="AQ10" s="104" t="n">
        <x:v>0.88</x:v>
      </x:c>
      <x:c r="AR10" s="98"/>
      <x:c r="AS10" s="98" t="str">
        <x:v>partial_match</x:v>
      </x:c>
      <x:c r="AT10" s="104" t="n">
        <x:v>0.79</x:v>
      </x:c>
      <x:c r="AU10" s="102" t="n">
        <x:v>1</x:v>
      </x:c>
      <x:c r="AV10" s="102" t="n">
        <x:v>0</x:v>
      </x:c>
      <x:c r="AW10" s="98" t="str">
        <x:v>baf</x:v>
      </x:c>
      <x:c r="AX10" s="98" t="str">
        <x:v>initial_sound_error</x:v>
      </x:c>
      <x:c r="AY10" s="98" t="str">
        <x:v>medium_support</x:v>
      </x:c>
      <x:c r="AZ10" s="104" t="n">
        <x:v>0.86</x:v>
      </x:c>
      <x:c r="BA10" s="98" t="str">
        <x:v>dummy_example</x:v>
      </x:c>
      <x:c r="BB10" s="98" t="str">
        <x:v>DUMMY_LABELER</x:v>
      </x:c>
      <x:c r="BC10" s="105" t="n">
        <x:v>46244.34722222222</x:v>
      </x:c>
      <x:c r="BD10" s="105" t="n">
        <x:v>46244.346875</x:v>
      </x:c>
      <x:c r="BE10" s="101" t="str">
        <x:v>P-DUMMY-02</x:v>
      </x:c>
      <x:c r="BF10" s="102" t="n">
        <x:v>1</x:v>
      </x:c>
    </x:row>
    <x:row r="11">
      <x:c r="A11" s="101" t="str">
        <x:v>ATT-DUMMY-007</x:v>
      </x:c>
      <x:c r="B11" s="101" t="str">
        <x:v>SES-DUMMY-004</x:v>
      </x:c>
      <x:c r="C11" s="101" t="str">
        <x:v>STU-DUMMY-002</x:v>
      </x:c>
      <x:c r="D11" s="101" t="str">
        <x:v>dummy_g3_02</x:v>
      </x:c>
      <x:c r="E11" s="98" t="str">
        <x:v>3</x:v>
      </x:c>
      <x:c r="F11" s="98" t="str">
        <x:v>improvement</x:v>
      </x:c>
      <x:c r="G11" s="101" t="str">
        <x:v>activity_improve_g3</x:v>
      </x:c>
      <x:c r="H11" s="98" t="str">
        <x:v>leo_word</x:v>
      </x:c>
      <x:c r="I11" s="98" t="str">
        <x:v>read_aloud_word</x:v>
      </x:c>
      <x:c r="J11" s="98" t="str">
        <x:v>word</x:v>
      </x:c>
      <x:c r="K11" s="101" t="str">
        <x:v>prompt_frog</x:v>
      </x:c>
      <x:c r="L11" s="98" t="str">
        <x:v>frog</x:v>
      </x:c>
      <x:c r="M11" s="102" t="n">
        <x:v>1</x:v>
      </x:c>
      <x:c r="N11" s="102" t="n">
        <x:v>0</x:v>
      </x:c>
      <x:c r="O11" s="98" t="str">
        <x:v>background_noise</x:v>
      </x:c>
      <x:c r="P11" s="103" t="n">
        <x:v>0</x:v>
      </x:c>
      <x:c r="Q11" s="103"/>
      <x:c r="R11" s="104"/>
      <x:c r="S11" s="102"/>
      <x:c r="T11" s="104"/>
      <x:c r="U11" s="98"/>
      <x:c r="V11" s="98" t="str">
        <x:v>frog</x:v>
      </x:c>
      <x:c r="W11" s="98"/>
      <x:c r="X11" s="102" t="n">
        <x:v>0</x:v>
      </x:c>
      <x:c r="Y11" s="102"/>
      <x:c r="Z11" s="104"/>
      <x:c r="AA11" s="104"/>
      <x:c r="AB11" s="104"/>
      <x:c r="AC11" s="98" t="str">
        <x:v>invalid_audio</x:v>
      </x:c>
      <x:c r="AD11" s="98" t="str">
        <x:v>not_run</x:v>
      </x:c>
      <x:c r="AE11" s="98"/>
      <x:c r="AF11" s="98"/>
      <x:c r="AG11" s="102"/>
      <x:c r="AH11" s="104"/>
      <x:c r="AI11" s="102"/>
      <x:c r="AJ11" s="102"/>
      <x:c r="AK11" s="102"/>
      <x:c r="AL11" s="102"/>
      <x:c r="AM11" s="102"/>
      <x:c r="AN11" s="102"/>
      <x:c r="AO11" s="102"/>
      <x:c r="AP11" s="98"/>
      <x:c r="AQ11" s="104"/>
      <x:c r="AR11" s="98"/>
      <x:c r="AS11" s="98"/>
      <x:c r="AT11" s="104"/>
      <x:c r="AU11" s="102" t="n">
        <x:v>0</x:v>
      </x:c>
      <x:c r="AV11" s="102"/>
      <x:c r="AW11" s="98"/>
      <x:c r="AX11" s="98"/>
      <x:c r="AY11" s="98" t="str">
        <x:v>medium_support</x:v>
      </x:c>
      <x:c r="AZ11" s="104" t="n">
        <x:v>0.84</x:v>
      </x:c>
      <x:c r="BA11" s="98" t="str">
        <x:v>dummy_example</x:v>
      </x:c>
      <x:c r="BB11" s="98" t="str">
        <x:v>DUMMY_LABELER</x:v>
      </x:c>
      <x:c r="BC11" s="105" t="n">
        <x:v>46244.354166666664</x:v>
      </x:c>
      <x:c r="BD11" s="105" t="n">
        <x:v>46244.353472222225</x:v>
      </x:c>
      <x:c r="BE11" s="101" t="str">
        <x:v>P-DUMMY-02</x:v>
      </x:c>
      <x:c r="BF11" s="102" t="n">
        <x:v>1</x:v>
      </x:c>
    </x:row>
    <x:row r="12">
      <x:c r="A12" s="101" t="str">
        <x:v>ATT-DUMMY-008</x:v>
      </x:c>
      <x:c r="B12" s="101" t="str">
        <x:v>SES-DUMMY-004</x:v>
      </x:c>
      <x:c r="C12" s="101" t="str">
        <x:v>STU-DUMMY-002</x:v>
      </x:c>
      <x:c r="D12" s="101" t="str">
        <x:v>dummy_g3_02</x:v>
      </x:c>
      <x:c r="E12" s="98" t="str">
        <x:v>3</x:v>
      </x:c>
      <x:c r="F12" s="98" t="str">
        <x:v>improvement</x:v>
      </x:c>
      <x:c r="G12" s="101" t="str">
        <x:v>activity_improve_g3</x:v>
      </x:c>
      <x:c r="H12" s="98" t="str">
        <x:v>leo_word</x:v>
      </x:c>
      <x:c r="I12" s="98" t="str">
        <x:v>read_aloud_word</x:v>
      </x:c>
      <x:c r="J12" s="98" t="str">
        <x:v>word</x:v>
      </x:c>
      <x:c r="K12" s="101" t="str">
        <x:v>prompt_frog</x:v>
      </x:c>
      <x:c r="L12" s="98" t="str">
        <x:v>frog</x:v>
      </x:c>
      <x:c r="M12" s="102" t="n">
        <x:v>2</x:v>
      </x:c>
      <x:c r="N12" s="102" t="n">
        <x:v>1</x:v>
      </x:c>
      <x:c r="O12" s="98"/>
      <x:c r="P12" s="103" t="n">
        <x:v>1460</x:v>
      </x:c>
      <x:c r="Q12" s="103" t="n">
        <x:v>0.91</x:v>
      </x:c>
      <x:c r="R12" s="104" t="n">
        <x:v>0.22</x:v>
      </x:c>
      <x:c r="S12" s="102" t="n">
        <x:v>2</x:v>
      </x:c>
      <x:c r="T12" s="104" t="n">
        <x:v>0.84</x:v>
      </x:c>
      <x:c r="U12" s="98" t="str">
        <x:v>medium</x:v>
      </x:c>
      <x:c r="V12" s="98" t="str">
        <x:v>frog</x:v>
      </x:c>
      <x:c r="W12" s="98" t="str">
        <x:v>fog</x:v>
      </x:c>
      <x:c r="X12" s="102" t="n">
        <x:v>0</x:v>
      </x:c>
      <x:c r="Y12" s="102" t="n">
        <x:v>1</x:v>
      </x:c>
      <x:c r="Z12" s="104" t="n">
        <x:v>0.75</x:v>
      </x:c>
      <x:c r="AA12" s="104" t="n">
        <x:v>0.25</x:v>
      </x:c>
      <x:c r="AB12" s="104" t="n">
        <x:v>1</x:v>
      </x:c>
      <x:c r="AC12" s="98" t="str">
        <x:v>consonant_cluster_error</x:v>
      </x:c>
      <x:c r="AD12" s="98" t="str">
        <x:v>completed</x:v>
      </x:c>
      <x:c r="AE12" s="98" t="str">
        <x:v>f r ao g</x:v>
      </x:c>
      <x:c r="AF12" s="98" t="str">
        <x:v>f ao g</x:v>
      </x:c>
      <x:c r="AG12" s="102" t="n">
        <x:v>1</x:v>
      </x:c>
      <x:c r="AH12" s="104" t="n">
        <x:v>0.25</x:v>
      </x:c>
      <x:c r="AI12" s="102" t="n">
        <x:v>0</x:v>
      </x:c>
      <x:c r="AJ12" s="102" t="n">
        <x:v>0</x:v>
      </x:c>
      <x:c r="AK12" s="102" t="n">
        <x:v>0</x:v>
      </x:c>
      <x:c r="AL12" s="102" t="n">
        <x:v>1</x:v>
      </x:c>
      <x:c r="AM12" s="102" t="n">
        <x:v>1</x:v>
      </x:c>
      <x:c r="AN12" s="102" t="n">
        <x:v>0</x:v>
      </x:c>
      <x:c r="AO12" s="102" t="n">
        <x:v>0</x:v>
      </x:c>
      <x:c r="AP12" s="98" t="str">
        <x:v>cluster_deletion</x:v>
      </x:c>
      <x:c r="AQ12" s="104" t="n">
        <x:v>0.86</x:v>
      </x:c>
      <x:c r="AR12" s="98" t="str">
        <x:v>retry</x:v>
      </x:c>
      <x:c r="AS12" s="98" t="str">
        <x:v>partial_match</x:v>
      </x:c>
      <x:c r="AT12" s="104" t="n">
        <x:v>0.76</x:v>
      </x:c>
      <x:c r="AU12" s="102" t="n">
        <x:v>1</x:v>
      </x:c>
      <x:c r="AV12" s="102" t="n">
        <x:v>0</x:v>
      </x:c>
      <x:c r="AW12" s="98" t="str">
        <x:v>fog</x:v>
      </x:c>
      <x:c r="AX12" s="98" t="str">
        <x:v>consonant_cluster_error</x:v>
      </x:c>
      <x:c r="AY12" s="98" t="str">
        <x:v>medium_support</x:v>
      </x:c>
      <x:c r="AZ12" s="104" t="n">
        <x:v>0.84</x:v>
      </x:c>
      <x:c r="BA12" s="98" t="str">
        <x:v>dummy_example</x:v>
      </x:c>
      <x:c r="BB12" s="98" t="str">
        <x:v>DUMMY_LABELER</x:v>
      </x:c>
      <x:c r="BC12" s="105" t="n">
        <x:v>46244.354166666664</x:v>
      </x:c>
      <x:c r="BD12" s="105" t="n">
        <x:v>46244.35381944444</x:v>
      </x:c>
      <x:c r="BE12" s="101" t="str">
        <x:v>P-DUMMY-02</x:v>
      </x:c>
      <x:c r="BF12" s="102" t="n">
        <x:v>1</x:v>
      </x:c>
    </x:row>
    <x:row r="13">
      <x:c r="A13" s="101" t="str">
        <x:v>ATT-DUMMY-009</x:v>
      </x:c>
      <x:c r="B13" s="101" t="str">
        <x:v>SES-DUMMY-005</x:v>
      </x:c>
      <x:c r="C13" s="101" t="str">
        <x:v>STU-DUMMY-003</x:v>
      </x:c>
      <x:c r="D13" s="101" t="str">
        <x:v>dummy_g4_03</x:v>
      </x:c>
      <x:c r="E13" s="98" t="str">
        <x:v>4</x:v>
      </x:c>
      <x:c r="F13" s="98" t="str">
        <x:v>identification</x:v>
      </x:c>
      <x:c r="G13" s="101" t="str">
        <x:v>activity_identify_g4</x:v>
      </x:c>
      <x:c r="H13" s="98" t="str">
        <x:v>leo_pseudoword</x:v>
      </x:c>
      <x:c r="I13" s="98" t="str">
        <x:v>read_aloud_pseudoword</x:v>
      </x:c>
      <x:c r="J13" s="98" t="str">
        <x:v>pseudoword</x:v>
      </x:c>
      <x:c r="K13" s="101" t="str">
        <x:v>prompt_splim</x:v>
      </x:c>
      <x:c r="L13" s="98" t="str">
        <x:v>splim</x:v>
      </x:c>
      <x:c r="M13" s="102" t="n">
        <x:v>1</x:v>
      </x:c>
      <x:c r="N13" s="102" t="n">
        <x:v>1</x:v>
      </x:c>
      <x:c r="O13" s="98"/>
      <x:c r="P13" s="103" t="n">
        <x:v>1620</x:v>
      </x:c>
      <x:c r="Q13" s="103" t="n">
        <x:v>1.01</x:v>
      </x:c>
      <x:c r="R13" s="104" t="n">
        <x:v>0.24</x:v>
      </x:c>
      <x:c r="S13" s="102" t="n">
        <x:v>2</x:v>
      </x:c>
      <x:c r="T13" s="104" t="n">
        <x:v>0.82</x:v>
      </x:c>
      <x:c r="U13" s="98" t="str">
        <x:v>medium</x:v>
      </x:c>
      <x:c r="V13" s="98" t="str">
        <x:v>splim</x:v>
      </x:c>
      <x:c r="W13" s="98" t="str">
        <x:v>slim</x:v>
      </x:c>
      <x:c r="X13" s="102" t="n">
        <x:v>0</x:v>
      </x:c>
      <x:c r="Y13" s="102" t="n">
        <x:v>1</x:v>
      </x:c>
      <x:c r="Z13" s="104" t="n">
        <x:v>0.8</x:v>
      </x:c>
      <x:c r="AA13" s="104" t="n">
        <x:v>0.2</x:v>
      </x:c>
      <x:c r="AB13" s="104" t="n">
        <x:v>1</x:v>
      </x:c>
      <x:c r="AC13" s="98" t="str">
        <x:v>consonant_cluster_error</x:v>
      </x:c>
      <x:c r="AD13" s="98" t="str">
        <x:v>completed</x:v>
      </x:c>
      <x:c r="AE13" s="98" t="str">
        <x:v>s p l ih m</x:v>
      </x:c>
      <x:c r="AF13" s="98" t="str">
        <x:v>s l ih m</x:v>
      </x:c>
      <x:c r="AG13" s="102" t="n">
        <x:v>1</x:v>
      </x:c>
      <x:c r="AH13" s="104" t="n">
        <x:v>0.2</x:v>
      </x:c>
      <x:c r="AI13" s="102" t="n">
        <x:v>0</x:v>
      </x:c>
      <x:c r="AJ13" s="102" t="n">
        <x:v>0</x:v>
      </x:c>
      <x:c r="AK13" s="102" t="n">
        <x:v>0</x:v>
      </x:c>
      <x:c r="AL13" s="102" t="n">
        <x:v>1</x:v>
      </x:c>
      <x:c r="AM13" s="102" t="n">
        <x:v>1</x:v>
      </x:c>
      <x:c r="AN13" s="102" t="n">
        <x:v>0</x:v>
      </x:c>
      <x:c r="AO13" s="102" t="n">
        <x:v>0</x:v>
      </x:c>
      <x:c r="AP13" s="98" t="str">
        <x:v>cluster_deletion</x:v>
      </x:c>
      <x:c r="AQ13" s="104" t="n">
        <x:v>0.85</x:v>
      </x:c>
      <x:c r="AR13" s="98"/>
      <x:c r="AS13" s="98" t="str">
        <x:v>partial_match</x:v>
      </x:c>
      <x:c r="AT13" s="104" t="n">
        <x:v>0.74</x:v>
      </x:c>
      <x:c r="AU13" s="102" t="n">
        <x:v>1</x:v>
      </x:c>
      <x:c r="AV13" s="102" t="n">
        <x:v>0</x:v>
      </x:c>
      <x:c r="AW13" s="98" t="str">
        <x:v>slim</x:v>
      </x:c>
      <x:c r="AX13" s="98" t="str">
        <x:v>consonant_cluster_error</x:v>
      </x:c>
      <x:c r="AY13" s="98" t="str">
        <x:v>high_support</x:v>
      </x:c>
      <x:c r="AZ13" s="104" t="n">
        <x:v>0.93</x:v>
      </x:c>
      <x:c r="BA13" s="98" t="str">
        <x:v>dummy_example</x:v>
      </x:c>
      <x:c r="BB13" s="98" t="str">
        <x:v>DUMMY_LABELER</x:v>
      </x:c>
      <x:c r="BC13" s="105" t="n">
        <x:v>46244.36111111111</x:v>
      </x:c>
      <x:c r="BD13" s="105" t="n">
        <x:v>46244.36041666667</x:v>
      </x:c>
      <x:c r="BE13" s="101" t="str">
        <x:v>P-DUMMY-03</x:v>
      </x:c>
      <x:c r="BF13" s="102" t="n">
        <x:v>1</x:v>
      </x:c>
    </x:row>
    <x:row r="14">
      <x:c r="A14" s="101" t="str">
        <x:v>ATT-DUMMY-010</x:v>
      </x:c>
      <x:c r="B14" s="101" t="str">
        <x:v>SES-DUMMY-005</x:v>
      </x:c>
      <x:c r="C14" s="101" t="str">
        <x:v>STU-DUMMY-003</x:v>
      </x:c>
      <x:c r="D14" s="101" t="str">
        <x:v>dummy_g4_03</x:v>
      </x:c>
      <x:c r="E14" s="98" t="str">
        <x:v>4</x:v>
      </x:c>
      <x:c r="F14" s="98" t="str">
        <x:v>identification</x:v>
      </x:c>
      <x:c r="G14" s="101" t="str">
        <x:v>activity_identify_g4</x:v>
      </x:c>
      <x:c r="H14" s="98" t="str">
        <x:v>leo_sentence</x:v>
      </x:c>
      <x:c r="I14" s="98" t="str">
        <x:v>read_aloud_sentence</x:v>
      </x:c>
      <x:c r="J14" s="98" t="str">
        <x:v>sentence</x:v>
      </x:c>
      <x:c r="K14" s="101" t="str">
        <x:v>prompt_bridge</x:v>
      </x:c>
      <x:c r="L14" s="98" t="str">
        <x:v>the bridge is wide</x:v>
      </x:c>
      <x:c r="M14" s="102" t="n">
        <x:v>1</x:v>
      </x:c>
      <x:c r="N14" s="102" t="n">
        <x:v>1</x:v>
      </x:c>
      <x:c r="O14" s="98"/>
      <x:c r="P14" s="103" t="n">
        <x:v>2460</x:v>
      </x:c>
      <x:c r="Q14" s="103" t="n">
        <x:v>1.58</x:v>
      </x:c>
      <x:c r="R14" s="104" t="n">
        <x:v>0.27</x:v>
      </x:c>
      <x:c r="S14" s="102" t="n">
        <x:v>3</x:v>
      </x:c>
      <x:c r="T14" s="104" t="n">
        <x:v>0.8</x:v>
      </x:c>
      <x:c r="U14" s="98" t="str">
        <x:v>medium</x:v>
      </x:c>
      <x:c r="V14" s="98" t="str">
        <x:v>the bridge is wide</x:v>
      </x:c>
      <x:c r="W14" s="98" t="str">
        <x:v>the big is wide</x:v>
      </x:c>
      <x:c r="X14" s="102" t="n">
        <x:v>0</x:v>
      </x:c>
      <x:c r="Y14" s="102" t="n">
        <x:v>3</x:v>
      </x:c>
      <x:c r="Z14" s="104" t="n">
        <x:v>0.82</x:v>
      </x:c>
      <x:c r="AA14" s="104" t="n">
        <x:v>0.18</x:v>
      </x:c>
      <x:c r="AB14" s="104" t="n">
        <x:v>1</x:v>
      </x:c>
      <x:c r="AC14" s="98" t="str">
        <x:v>consonant_cluster_error</x:v>
      </x:c>
      <x:c r="AD14" s="98" t="str">
        <x:v>completed</x:v>
      </x:c>
      <x:c r="AE14" s="98" t="str">
        <x:v>dh ah b r ih jh ih z w ay d</x:v>
      </x:c>
      <x:c r="AF14" s="98" t="str">
        <x:v>dh ah b ih g ih z w ay d</x:v>
      </x:c>
      <x:c r="AG14" s="102" t="n">
        <x:v>2</x:v>
      </x:c>
      <x:c r="AH14" s="104" t="n">
        <x:v>0.2</x:v>
      </x:c>
      <x:c r="AI14" s="102" t="n">
        <x:v>0</x:v>
      </x:c>
      <x:c r="AJ14" s="102" t="n">
        <x:v>0</x:v>
      </x:c>
      <x:c r="AK14" s="102" t="n">
        <x:v>0</x:v>
      </x:c>
      <x:c r="AL14" s="102" t="n">
        <x:v>1</x:v>
      </x:c>
      <x:c r="AM14" s="102" t="n">
        <x:v>1</x:v>
      </x:c>
      <x:c r="AN14" s="102" t="n">
        <x:v>0</x:v>
      </x:c>
      <x:c r="AO14" s="102" t="n">
        <x:v>1</x:v>
      </x:c>
      <x:c r="AP14" s="98" t="str">
        <x:v>cluster_substitution</x:v>
      </x:c>
      <x:c r="AQ14" s="104" t="n">
        <x:v>0.82</x:v>
      </x:c>
      <x:c r="AR14" s="98"/>
      <x:c r="AS14" s="98" t="str">
        <x:v>partial_match</x:v>
      </x:c>
      <x:c r="AT14" s="104" t="n">
        <x:v>0.72</x:v>
      </x:c>
      <x:c r="AU14" s="102" t="n">
        <x:v>1</x:v>
      </x:c>
      <x:c r="AV14" s="102" t="n">
        <x:v>0</x:v>
      </x:c>
      <x:c r="AW14" s="98" t="str">
        <x:v>the big is wide</x:v>
      </x:c>
      <x:c r="AX14" s="98" t="str">
        <x:v>consonant_cluster_error</x:v>
      </x:c>
      <x:c r="AY14" s="98" t="str">
        <x:v>high_support</x:v>
      </x:c>
      <x:c r="AZ14" s="104" t="n">
        <x:v>0.93</x:v>
      </x:c>
      <x:c r="BA14" s="98" t="str">
        <x:v>dummy_example</x:v>
      </x:c>
      <x:c r="BB14" s="98" t="str">
        <x:v>DUMMY_LABELER</x:v>
      </x:c>
      <x:c r="BC14" s="105" t="n">
        <x:v>46244.36111111111</x:v>
      </x:c>
      <x:c r="BD14" s="105" t="n">
        <x:v>46244.360763888886</x:v>
      </x:c>
      <x:c r="BE14" s="101" t="str">
        <x:v>P-DUMMY-03</x:v>
      </x:c>
      <x:c r="BF14" s="102" t="n">
        <x:v>1</x:v>
      </x:c>
    </x:row>
    <x:row r="15">
      <x:c r="A15" s="101" t="str">
        <x:v>ATT-DUMMY-011</x:v>
      </x:c>
      <x:c r="B15" s="101" t="str">
        <x:v>SES-DUMMY-006</x:v>
      </x:c>
      <x:c r="C15" s="101" t="str">
        <x:v>STU-DUMMY-003</x:v>
      </x:c>
      <x:c r="D15" s="101" t="str">
        <x:v>dummy_g4_03</x:v>
      </x:c>
      <x:c r="E15" s="98" t="str">
        <x:v>4</x:v>
      </x:c>
      <x:c r="F15" s="98" t="str">
        <x:v>improvement</x:v>
      </x:c>
      <x:c r="G15" s="101" t="str">
        <x:v>activity_improve_g4</x:v>
      </x:c>
      <x:c r="H15" s="98" t="str">
        <x:v>leo_word</x:v>
      </x:c>
      <x:c r="I15" s="98" t="str">
        <x:v>read_aloud_word</x:v>
      </x:c>
      <x:c r="J15" s="98" t="str">
        <x:v>word</x:v>
      </x:c>
      <x:c r="K15" s="101" t="str">
        <x:v>prompt_thin</x:v>
      </x:c>
      <x:c r="L15" s="98" t="str">
        <x:v>thin</x:v>
      </x:c>
      <x:c r="M15" s="102" t="n">
        <x:v>1</x:v>
      </x:c>
      <x:c r="N15" s="102" t="n">
        <x:v>1</x:v>
      </x:c>
      <x:c r="O15" s="98"/>
      <x:c r="P15" s="103" t="n">
        <x:v>1520</x:v>
      </x:c>
      <x:c r="Q15" s="103" t="n">
        <x:v>0.93</x:v>
      </x:c>
      <x:c r="R15" s="104" t="n">
        <x:v>0.23</x:v>
      </x:c>
      <x:c r="S15" s="102" t="n">
        <x:v>2</x:v>
      </x:c>
      <x:c r="T15" s="104" t="n">
        <x:v>0.83</x:v>
      </x:c>
      <x:c r="U15" s="98" t="str">
        <x:v>medium</x:v>
      </x:c>
      <x:c r="V15" s="98" t="str">
        <x:v>thin</x:v>
      </x:c>
      <x:c r="W15" s="98" t="str">
        <x:v>tin</x:v>
      </x:c>
      <x:c r="X15" s="102" t="n">
        <x:v>0</x:v>
      </x:c>
      <x:c r="Y15" s="102" t="n">
        <x:v>1</x:v>
      </x:c>
      <x:c r="Z15" s="104" t="n">
        <x:v>0.75</x:v>
      </x:c>
      <x:c r="AA15" s="104" t="n">
        <x:v>0.25</x:v>
      </x:c>
      <x:c r="AB15" s="104" t="n">
        <x:v>1</x:v>
      </x:c>
      <x:c r="AC15" s="98" t="str">
        <x:v>initial_sound_error</x:v>
      </x:c>
      <x:c r="AD15" s="98" t="str">
        <x:v>completed</x:v>
      </x:c>
      <x:c r="AE15" s="98" t="str">
        <x:v>th ih n</x:v>
      </x:c>
      <x:c r="AF15" s="98" t="str">
        <x:v>t ih n</x:v>
      </x:c>
      <x:c r="AG15" s="102" t="n">
        <x:v>1</x:v>
      </x:c>
      <x:c r="AH15" s="104" t="n">
        <x:v>0.33</x:v>
      </x:c>
      <x:c r="AI15" s="102" t="n">
        <x:v>1</x:v>
      </x:c>
      <x:c r="AJ15" s="102" t="n">
        <x:v>0</x:v>
      </x:c>
      <x:c r="AK15" s="102" t="n">
        <x:v>0</x:v>
      </x:c>
      <x:c r="AL15" s="102" t="n">
        <x:v>0</x:v>
      </x:c>
      <x:c r="AM15" s="102" t="n">
        <x:v>0</x:v>
      </x:c>
      <x:c r="AN15" s="102" t="n">
        <x:v>0</x:v>
      </x:c>
      <x:c r="AO15" s="102" t="n">
        <x:v>1</x:v>
      </x:c>
      <x:c r="AP15" s="98" t="str">
        <x:v>initial_substitution</x:v>
      </x:c>
      <x:c r="AQ15" s="104" t="n">
        <x:v>0.84</x:v>
      </x:c>
      <x:c r="AR15" s="98"/>
      <x:c r="AS15" s="98" t="str">
        <x:v>partial_match</x:v>
      </x:c>
      <x:c r="AT15" s="104" t="n">
        <x:v>0.73</x:v>
      </x:c>
      <x:c r="AU15" s="102" t="n">
        <x:v>1</x:v>
      </x:c>
      <x:c r="AV15" s="102" t="n">
        <x:v>0</x:v>
      </x:c>
      <x:c r="AW15" s="98" t="str">
        <x:v>tin</x:v>
      </x:c>
      <x:c r="AX15" s="98" t="str">
        <x:v>initial_sound_error</x:v>
      </x:c>
      <x:c r="AY15" s="98" t="str">
        <x:v>high_support</x:v>
      </x:c>
      <x:c r="AZ15" s="104" t="n">
        <x:v>0.91</x:v>
      </x:c>
      <x:c r="BA15" s="98" t="str">
        <x:v>dummy_example</x:v>
      </x:c>
      <x:c r="BB15" s="98" t="str">
        <x:v>DUMMY_LABELER</x:v>
      </x:c>
      <x:c r="BC15" s="105" t="n">
        <x:v>46244.368055555555</x:v>
      </x:c>
      <x:c r="BD15" s="105" t="n">
        <x:v>46244.36736111111</x:v>
      </x:c>
      <x:c r="BE15" s="101" t="str">
        <x:v>P-DUMMY-03</x:v>
      </x:c>
      <x:c r="BF15" s="102" t="n">
        <x:v>1</x:v>
      </x:c>
    </x:row>
    <x:row r="16">
      <x:c r="A16" s="101" t="str">
        <x:v>ATT-DUMMY-012</x:v>
      </x:c>
      <x:c r="B16" s="101" t="str">
        <x:v>SES-DUMMY-006</x:v>
      </x:c>
      <x:c r="C16" s="101" t="str">
        <x:v>STU-DUMMY-003</x:v>
      </x:c>
      <x:c r="D16" s="101" t="str">
        <x:v>dummy_g4_03</x:v>
      </x:c>
      <x:c r="E16" s="98" t="str">
        <x:v>4</x:v>
      </x:c>
      <x:c r="F16" s="98" t="str">
        <x:v>improvement</x:v>
      </x:c>
      <x:c r="G16" s="101" t="str">
        <x:v>activity_improve_g4</x:v>
      </x:c>
      <x:c r="H16" s="98" t="str">
        <x:v>leo_minimal_pair</x:v>
      </x:c>
      <x:c r="I16" s="98" t="str">
        <x:v>minimal_pair</x:v>
      </x:c>
      <x:c r="J16" s="98" t="str">
        <x:v>minimal_pair</x:v>
      </x:c>
      <x:c r="K16" s="101" t="str">
        <x:v>prompt_ship_sheep</x:v>
      </x:c>
      <x:c r="L16" s="98" t="str">
        <x:v>ship</x:v>
      </x:c>
      <x:c r="M16" s="102" t="n">
        <x:v>1</x:v>
      </x:c>
      <x:c r="N16" s="102" t="n">
        <x:v>1</x:v>
      </x:c>
      <x:c r="O16" s="98"/>
      <x:c r="P16" s="103" t="n">
        <x:v>1490</x:v>
      </x:c>
      <x:c r="Q16" s="103" t="n">
        <x:v>0.9</x:v>
      </x:c>
      <x:c r="R16" s="104" t="n">
        <x:v>0.21</x:v>
      </x:c>
      <x:c r="S16" s="102" t="n">
        <x:v>2</x:v>
      </x:c>
      <x:c r="T16" s="104" t="n">
        <x:v>0.85</x:v>
      </x:c>
      <x:c r="U16" s="98" t="str">
        <x:v>medium</x:v>
      </x:c>
      <x:c r="V16" s="98" t="str">
        <x:v>ship</x:v>
      </x:c>
      <x:c r="W16" s="98" t="str">
        <x:v>sheep</x:v>
      </x:c>
      <x:c r="X16" s="102" t="n">
        <x:v>0</x:v>
      </x:c>
      <x:c r="Y16" s="102" t="n">
        <x:v>2</x:v>
      </x:c>
      <x:c r="Z16" s="104" t="n">
        <x:v>0.5</x:v>
      </x:c>
      <x:c r="AA16" s="104" t="n">
        <x:v>0.5</x:v>
      </x:c>
      <x:c r="AB16" s="104" t="n">
        <x:v>1</x:v>
      </x:c>
      <x:c r="AC16" s="98" t="str">
        <x:v>vowel_mismatch</x:v>
      </x:c>
      <x:c r="AD16" s="98" t="str">
        <x:v>completed</x:v>
      </x:c>
      <x:c r="AE16" s="98" t="str">
        <x:v>sh ih p</x:v>
      </x:c>
      <x:c r="AF16" s="98" t="str">
        <x:v>sh iy p</x:v>
      </x:c>
      <x:c r="AG16" s="102" t="n">
        <x:v>1</x:v>
      </x:c>
      <x:c r="AH16" s="104" t="n">
        <x:v>0.33</x:v>
      </x:c>
      <x:c r="AI16" s="102" t="n">
        <x:v>0</x:v>
      </x:c>
      <x:c r="AJ16" s="102" t="n">
        <x:v>0</x:v>
      </x:c>
      <x:c r="AK16" s="102" t="n">
        <x:v>1</x:v>
      </x:c>
      <x:c r="AL16" s="102" t="n">
        <x:v>0</x:v>
      </x:c>
      <x:c r="AM16" s="102" t="n">
        <x:v>0</x:v>
      </x:c>
      <x:c r="AN16" s="102" t="n">
        <x:v>0</x:v>
      </x:c>
      <x:c r="AO16" s="102" t="n">
        <x:v>1</x:v>
      </x:c>
      <x:c r="AP16" s="98" t="str">
        <x:v>vowel_substitution</x:v>
      </x:c>
      <x:c r="AQ16" s="104" t="n">
        <x:v>0.83</x:v>
      </x:c>
      <x:c r="AR16" s="98"/>
      <x:c r="AS16" s="98" t="str">
        <x:v>partial_match</x:v>
      </x:c>
      <x:c r="AT16" s="104" t="n">
        <x:v>0.71</x:v>
      </x:c>
      <x:c r="AU16" s="102" t="n">
        <x:v>1</x:v>
      </x:c>
      <x:c r="AV16" s="102" t="n">
        <x:v>0</x:v>
      </x:c>
      <x:c r="AW16" s="98" t="str">
        <x:v>sheep</x:v>
      </x:c>
      <x:c r="AX16" s="98" t="str">
        <x:v>vowel_mismatch</x:v>
      </x:c>
      <x:c r="AY16" s="98" t="str">
        <x:v>high_support</x:v>
      </x:c>
      <x:c r="AZ16" s="104" t="n">
        <x:v>0.91</x:v>
      </x:c>
      <x:c r="BA16" s="98" t="str">
        <x:v>dummy_example</x:v>
      </x:c>
      <x:c r="BB16" s="98" t="str">
        <x:v>DUMMY_LABELER</x:v>
      </x:c>
      <x:c r="BC16" s="105" t="n">
        <x:v>46244.368055555555</x:v>
      </x:c>
      <x:c r="BD16" s="105" t="n">
        <x:v>46244.36770833333</x:v>
      </x:c>
      <x:c r="BE16" s="101" t="str">
        <x:v>P-DUMMY-03</x:v>
      </x:c>
      <x:c r="BF16" s="102" t="n">
        <x:v>1</x:v>
      </x:c>
    </x:row>
    <x:row r="17">
      <x:c r="A17" s="101" t="str">
        <x:v>ATT-DUMMY-013</x:v>
      </x:c>
      <x:c r="B17" s="101" t="str">
        <x:v>SES-DUMMY-007</x:v>
      </x:c>
      <x:c r="C17" s="101" t="str">
        <x:v>STU-DUMMY-004</x:v>
      </x:c>
      <x:c r="D17" s="101" t="str">
        <x:v>dummy_g5_04</x:v>
      </x:c>
      <x:c r="E17" s="98" t="str">
        <x:v>5</x:v>
      </x:c>
      <x:c r="F17" s="98" t="str">
        <x:v>identification</x:v>
      </x:c>
      <x:c r="G17" s="101" t="str">
        <x:v>activity_identify_g5</x:v>
      </x:c>
      <x:c r="H17" s="98" t="str">
        <x:v>leo_word</x:v>
      </x:c>
      <x:c r="I17" s="98" t="str">
        <x:v>read_aloud_word</x:v>
      </x:c>
      <x:c r="J17" s="98" t="str">
        <x:v>word</x:v>
      </x:c>
      <x:c r="K17" s="101" t="str">
        <x:v>prompt_plane</x:v>
      </x:c>
      <x:c r="L17" s="98" t="str">
        <x:v>plane</x:v>
      </x:c>
      <x:c r="M17" s="102" t="n">
        <x:v>1</x:v>
      </x:c>
      <x:c r="N17" s="102" t="n">
        <x:v>1</x:v>
      </x:c>
      <x:c r="O17" s="98"/>
      <x:c r="P17" s="103" t="n">
        <x:v>1710</x:v>
      </x:c>
      <x:c r="Q17" s="103" t="n">
        <x:v>1.08</x:v>
      </x:c>
      <x:c r="R17" s="104" t="n">
        <x:v>0.16</x:v>
      </x:c>
      <x:c r="S17" s="102" t="n">
        <x:v>1</x:v>
      </x:c>
      <x:c r="T17" s="104" t="n">
        <x:v>0.92</x:v>
      </x:c>
      <x:c r="U17" s="98" t="str">
        <x:v>high</x:v>
      </x:c>
      <x:c r="V17" s="98" t="str">
        <x:v>plane</x:v>
      </x:c>
      <x:c r="W17" s="98" t="str">
        <x:v>plane</x:v>
      </x:c>
      <x:c r="X17" s="102" t="n">
        <x:v>1</x:v>
      </x:c>
      <x:c r="Y17" s="102" t="n">
        <x:v>0</x:v>
      </x:c>
      <x:c r="Z17" s="104" t="n">
        <x:v>1</x:v>
      </x:c>
      <x:c r="AA17" s="104" t="n">
        <x:v>0</x:v>
      </x:c>
      <x:c r="AB17" s="104" t="n">
        <x:v>0</x:v>
      </x:c>
      <x:c r="AC17" s="98" t="str">
        <x:v>none</x:v>
      </x:c>
      <x:c r="AD17" s="98" t="str">
        <x:v>completed</x:v>
      </x:c>
      <x:c r="AE17" s="98" t="str">
        <x:v>p l ey n</x:v>
      </x:c>
      <x:c r="AF17" s="98" t="str">
        <x:v>p l ey n</x:v>
      </x:c>
      <x:c r="AG17" s="102" t="n">
        <x:v>0</x:v>
      </x:c>
      <x:c r="AH17" s="104" t="n">
        <x:v>0</x:v>
      </x:c>
      <x:c r="AI17" s="102" t="n">
        <x:v>0</x:v>
      </x:c>
      <x:c r="AJ17" s="102" t="n">
        <x:v>0</x:v>
      </x:c>
      <x:c r="AK17" s="102" t="n">
        <x:v>0</x:v>
      </x:c>
      <x:c r="AL17" s="102" t="n">
        <x:v>0</x:v>
      </x:c>
      <x:c r="AM17" s="102" t="n">
        <x:v>0</x:v>
      </x:c>
      <x:c r="AN17" s="102" t="n">
        <x:v>0</x:v>
      </x:c>
      <x:c r="AO17" s="102" t="n">
        <x:v>0</x:v>
      </x:c>
      <x:c r="AP17" s="98" t="str">
        <x:v>none</x:v>
      </x:c>
      <x:c r="AQ17" s="104" t="n">
        <x:v>0.96</x:v>
      </x:c>
      <x:c r="AR17" s="98"/>
      <x:c r="AS17" s="98" t="str">
        <x:v>correct</x:v>
      </x:c>
      <x:c r="AT17" s="104" t="n">
        <x:v>0.94</x:v>
      </x:c>
      <x:c r="AU17" s="102" t="n">
        <x:v>3</x:v>
      </x:c>
      <x:c r="AV17" s="102" t="n">
        <x:v>1</x:v>
      </x:c>
      <x:c r="AW17" s="98" t="str">
        <x:v>plane</x:v>
      </x:c>
      <x:c r="AX17" s="98" t="str">
        <x:v>none</x:v>
      </x:c>
      <x:c r="AY17" s="98" t="str">
        <x:v>low_support</x:v>
      </x:c>
      <x:c r="AZ17" s="104" t="n">
        <x:v>0.9</x:v>
      </x:c>
      <x:c r="BA17" s="98" t="str">
        <x:v>dummy_example</x:v>
      </x:c>
      <x:c r="BB17" s="98" t="str">
        <x:v>DUMMY_LABELER</x:v>
      </x:c>
      <x:c r="BC17" s="105" t="n">
        <x:v>46244.375</x:v>
      </x:c>
      <x:c r="BD17" s="105" t="n">
        <x:v>46244.37430555555</x:v>
      </x:c>
      <x:c r="BE17" s="101" t="str">
        <x:v>P-DUMMY-04</x:v>
      </x:c>
      <x:c r="BF17" s="102" t="n">
        <x:v>1</x:v>
      </x:c>
    </x:row>
    <x:row r="18">
      <x:c r="A18" s="101" t="str">
        <x:v>ATT-DUMMY-014</x:v>
      </x:c>
      <x:c r="B18" s="101" t="str">
        <x:v>SES-DUMMY-007</x:v>
      </x:c>
      <x:c r="C18" s="101" t="str">
        <x:v>STU-DUMMY-004</x:v>
      </x:c>
      <x:c r="D18" s="101" t="str">
        <x:v>dummy_g5_04</x:v>
      </x:c>
      <x:c r="E18" s="98" t="str">
        <x:v>5</x:v>
      </x:c>
      <x:c r="F18" s="98" t="str">
        <x:v>identification</x:v>
      </x:c>
      <x:c r="G18" s="101" t="str">
        <x:v>activity_identify_g5</x:v>
      </x:c>
      <x:c r="H18" s="98" t="str">
        <x:v>leo_pseudoword</x:v>
      </x:c>
      <x:c r="I18" s="98" t="str">
        <x:v>read_aloud_pseudoword</x:v>
      </x:c>
      <x:c r="J18" s="98" t="str">
        <x:v>pseudoword</x:v>
      </x:c>
      <x:c r="K18" s="101" t="str">
        <x:v>prompt_drum</x:v>
      </x:c>
      <x:c r="L18" s="98" t="str">
        <x:v>druv</x:v>
      </x:c>
      <x:c r="M18" s="102" t="n">
        <x:v>1</x:v>
      </x:c>
      <x:c r="N18" s="102" t="n">
        <x:v>1</x:v>
      </x:c>
      <x:c r="O18" s="98"/>
      <x:c r="P18" s="103" t="n">
        <x:v>1570</x:v>
      </x:c>
      <x:c r="Q18" s="103" t="n">
        <x:v>0.98</x:v>
      </x:c>
      <x:c r="R18" s="104" t="n">
        <x:v>0.18</x:v>
      </x:c>
      <x:c r="S18" s="102" t="n">
        <x:v>2</x:v>
      </x:c>
      <x:c r="T18" s="104" t="n">
        <x:v>0.87</x:v>
      </x:c>
      <x:c r="U18" s="98" t="str">
        <x:v>medium</x:v>
      </x:c>
      <x:c r="V18" s="98" t="str">
        <x:v>druv</x:v>
      </x:c>
      <x:c r="W18" s="98" t="str">
        <x:v>duv</x:v>
      </x:c>
      <x:c r="X18" s="102" t="n">
        <x:v>0</x:v>
      </x:c>
      <x:c r="Y18" s="102" t="n">
        <x:v>1</x:v>
      </x:c>
      <x:c r="Z18" s="104" t="n">
        <x:v>0.75</x:v>
      </x:c>
      <x:c r="AA18" s="104" t="n">
        <x:v>0.25</x:v>
      </x:c>
      <x:c r="AB18" s="104" t="n">
        <x:v>1</x:v>
      </x:c>
      <x:c r="AC18" s="98" t="str">
        <x:v>consonant_cluster_error</x:v>
      </x:c>
      <x:c r="AD18" s="98" t="str">
        <x:v>completed</x:v>
      </x:c>
      <x:c r="AE18" s="98" t="str">
        <x:v>d r uw v</x:v>
      </x:c>
      <x:c r="AF18" s="98" t="str">
        <x:v>d uw v</x:v>
      </x:c>
      <x:c r="AG18" s="102" t="n">
        <x:v>1</x:v>
      </x:c>
      <x:c r="AH18" s="104" t="n">
        <x:v>0.25</x:v>
      </x:c>
      <x:c r="AI18" s="102" t="n">
        <x:v>0</x:v>
      </x:c>
      <x:c r="AJ18" s="102" t="n">
        <x:v>0</x:v>
      </x:c>
      <x:c r="AK18" s="102" t="n">
        <x:v>0</x:v>
      </x:c>
      <x:c r="AL18" s="102" t="n">
        <x:v>1</x:v>
      </x:c>
      <x:c r="AM18" s="102" t="n">
        <x:v>1</x:v>
      </x:c>
      <x:c r="AN18" s="102" t="n">
        <x:v>0</x:v>
      </x:c>
      <x:c r="AO18" s="102" t="n">
        <x:v>0</x:v>
      </x:c>
      <x:c r="AP18" s="98" t="str">
        <x:v>cluster_deletion</x:v>
      </x:c>
      <x:c r="AQ18" s="104" t="n">
        <x:v>0.87</x:v>
      </x:c>
      <x:c r="AR18" s="98"/>
      <x:c r="AS18" s="98" t="str">
        <x:v>partial_match</x:v>
      </x:c>
      <x:c r="AT18" s="104" t="n">
        <x:v>0.78</x:v>
      </x:c>
      <x:c r="AU18" s="102" t="n">
        <x:v>1</x:v>
      </x:c>
      <x:c r="AV18" s="102" t="n">
        <x:v>0</x:v>
      </x:c>
      <x:c r="AW18" s="98" t="str">
        <x:v>duv</x:v>
      </x:c>
      <x:c r="AX18" s="98" t="str">
        <x:v>consonant_cluster_error</x:v>
      </x:c>
      <x:c r="AY18" s="98" t="str">
        <x:v>low_support</x:v>
      </x:c>
      <x:c r="AZ18" s="104" t="n">
        <x:v>0.9</x:v>
      </x:c>
      <x:c r="BA18" s="98" t="str">
        <x:v>dummy_example</x:v>
      </x:c>
      <x:c r="BB18" s="98" t="str">
        <x:v>DUMMY_LABELER</x:v>
      </x:c>
      <x:c r="BC18" s="105" t="n">
        <x:v>46244.375</x:v>
      </x:c>
      <x:c r="BD18" s="105" t="n">
        <x:v>46244.37465277778</x:v>
      </x:c>
      <x:c r="BE18" s="101" t="str">
        <x:v>P-DUMMY-04</x:v>
      </x:c>
      <x:c r="BF18" s="102" t="n">
        <x:v>1</x:v>
      </x:c>
    </x:row>
    <x:row r="19">
      <x:c r="A19" s="101" t="str">
        <x:v>ATT-DUMMY-015</x:v>
      </x:c>
      <x:c r="B19" s="101" t="str">
        <x:v>SES-DUMMY-008</x:v>
      </x:c>
      <x:c r="C19" s="101" t="str">
        <x:v>STU-DUMMY-005</x:v>
      </x:c>
      <x:c r="D19" s="101" t="str">
        <x:v>dummy_g5_05</x:v>
      </x:c>
      <x:c r="E19" s="98" t="str">
        <x:v>5</x:v>
      </x:c>
      <x:c r="F19" s="98" t="str">
        <x:v>improvement</x:v>
      </x:c>
      <x:c r="G19" s="101" t="str">
        <x:v>activity_improve_g5</x:v>
      </x:c>
      <x:c r="H19" s="98" t="str">
        <x:v>leo_sentence</x:v>
      </x:c>
      <x:c r="I19" s="98" t="str">
        <x:v>read_aloud_sentence</x:v>
      </x:c>
      <x:c r="J19" s="98" t="str">
        <x:v>sentence</x:v>
      </x:c>
      <x:c r="K19" s="101" t="str">
        <x:v>prompt_rain</x:v>
      </x:c>
      <x:c r="L19" s="98" t="str">
        <x:v>rain falls today</x:v>
      </x:c>
      <x:c r="M19" s="102" t="n">
        <x:v>1</x:v>
      </x:c>
      <x:c r="N19" s="102" t="n">
        <x:v>1</x:v>
      </x:c>
      <x:c r="O19" s="98"/>
      <x:c r="P19" s="103" t="n">
        <x:v>2300</x:v>
      </x:c>
      <x:c r="Q19" s="103" t="n">
        <x:v>1.45</x:v>
      </x:c>
      <x:c r="R19" s="104" t="n">
        <x:v>0.25</x:v>
      </x:c>
      <x:c r="S19" s="102" t="n">
        <x:v>3</x:v>
      </x:c>
      <x:c r="T19" s="104" t="n">
        <x:v>0.81</x:v>
      </x:c>
      <x:c r="U19" s="98" t="str">
        <x:v>medium</x:v>
      </x:c>
      <x:c r="V19" s="98" t="str">
        <x:v>rain falls today</x:v>
      </x:c>
      <x:c r="W19" s="98" t="str">
        <x:v>rain fall today</x:v>
      </x:c>
      <x:c r="X19" s="102" t="n">
        <x:v>0</x:v>
      </x:c>
      <x:c r="Y19" s="102" t="n">
        <x:v>1</x:v>
      </x:c>
      <x:c r="Z19" s="104" t="n">
        <x:v>0.93</x:v>
      </x:c>
      <x:c r="AA19" s="104" t="n">
        <x:v>0.07</x:v>
      </x:c>
      <x:c r="AB19" s="104" t="n">
        <x:v>1</x:v>
      </x:c>
      <x:c r="AC19" s="98" t="str">
        <x:v>final_sound_error</x:v>
      </x:c>
      <x:c r="AD19" s="98" t="str">
        <x:v>completed</x:v>
      </x:c>
      <x:c r="AE19" s="98" t="str">
        <x:v>r ey n f ao l z t ah d ey</x:v>
      </x:c>
      <x:c r="AF19" s="98" t="str">
        <x:v>r ey n f ao l t ah d ey</x:v>
      </x:c>
      <x:c r="AG19" s="102" t="n">
        <x:v>1</x:v>
      </x:c>
      <x:c r="AH19" s="104" t="n">
        <x:v>0.1</x:v>
      </x:c>
      <x:c r="AI19" s="102" t="n">
        <x:v>0</x:v>
      </x:c>
      <x:c r="AJ19" s="102" t="n">
        <x:v>1</x:v>
      </x:c>
      <x:c r="AK19" s="102" t="n">
        <x:v>0</x:v>
      </x:c>
      <x:c r="AL19" s="102" t="n">
        <x:v>0</x:v>
      </x:c>
      <x:c r="AM19" s="102" t="n">
        <x:v>1</x:v>
      </x:c>
      <x:c r="AN19" s="102" t="n">
        <x:v>0</x:v>
      </x:c>
      <x:c r="AO19" s="102" t="n">
        <x:v>0</x:v>
      </x:c>
      <x:c r="AP19" s="98" t="str">
        <x:v>final_deletion</x:v>
      </x:c>
      <x:c r="AQ19" s="104" t="n">
        <x:v>0.84</x:v>
      </x:c>
      <x:c r="AR19" s="98"/>
      <x:c r="AS19" s="98" t="str">
        <x:v>partial_match</x:v>
      </x:c>
      <x:c r="AT19" s="104" t="n">
        <x:v>0.75</x:v>
      </x:c>
      <x:c r="AU19" s="102" t="n">
        <x:v>1</x:v>
      </x:c>
      <x:c r="AV19" s="102" t="n">
        <x:v>0</x:v>
      </x:c>
      <x:c r="AW19" s="98" t="str">
        <x:v>rain fall today</x:v>
      </x:c>
      <x:c r="AX19" s="98" t="str">
        <x:v>final_sound_error</x:v>
      </x:c>
      <x:c r="AY19" s="98" t="str">
        <x:v>medium_support</x:v>
      </x:c>
      <x:c r="AZ19" s="104" t="n">
        <x:v>0.88</x:v>
      </x:c>
      <x:c r="BA19" s="98" t="str">
        <x:v>dummy_example</x:v>
      </x:c>
      <x:c r="BB19" s="98" t="str">
        <x:v>DUMMY_LABELER</x:v>
      </x:c>
      <x:c r="BC19" s="105" t="n">
        <x:v>46244.381944444445</x:v>
      </x:c>
      <x:c r="BD19" s="105" t="n">
        <x:v>46244.38125</x:v>
      </x:c>
      <x:c r="BE19" s="101" t="str">
        <x:v>P-DUMMY-05</x:v>
      </x:c>
      <x:c r="BF19" s="102" t="n">
        <x:v>1</x:v>
      </x:c>
    </x:row>
    <x:row r="20">
      <x:c r="A20" s="101" t="str">
        <x:v>ATT-DUMMY-016</x:v>
      </x:c>
      <x:c r="B20" s="101" t="str">
        <x:v>SES-DUMMY-008</x:v>
      </x:c>
      <x:c r="C20" s="101" t="str">
        <x:v>STU-DUMMY-005</x:v>
      </x:c>
      <x:c r="D20" s="101" t="str">
        <x:v>dummy_g5_05</x:v>
      </x:c>
      <x:c r="E20" s="98" t="str">
        <x:v>5</x:v>
      </x:c>
      <x:c r="F20" s="98" t="str">
        <x:v>improvement</x:v>
      </x:c>
      <x:c r="G20" s="101" t="str">
        <x:v>activity_improve_g5</x:v>
      </x:c>
      <x:c r="H20" s="98" t="str">
        <x:v>leo_sentence</x:v>
      </x:c>
      <x:c r="I20" s="98" t="str">
        <x:v>read_aloud_sentence</x:v>
      </x:c>
      <x:c r="J20" s="98" t="str">
        <x:v>sentence</x:v>
      </x:c>
      <x:c r="K20" s="101" t="str">
        <x:v>prompt_rain</x:v>
      </x:c>
      <x:c r="L20" s="98" t="str">
        <x:v>rain falls today</x:v>
      </x:c>
      <x:c r="M20" s="102" t="n">
        <x:v>2</x:v>
      </x:c>
      <x:c r="N20" s="102" t="n">
        <x:v>0</x:v>
      </x:c>
      <x:c r="O20" s="98" t="str">
        <x:v>microphone_timeout</x:v>
      </x:c>
      <x:c r="P20" s="103" t="n">
        <x:v>0</x:v>
      </x:c>
      <x:c r="Q20" s="103"/>
      <x:c r="R20" s="104"/>
      <x:c r="S20" s="102"/>
      <x:c r="T20" s="104"/>
      <x:c r="U20" s="98"/>
      <x:c r="V20" s="98" t="str">
        <x:v>rain falls today</x:v>
      </x:c>
      <x:c r="W20" s="98"/>
      <x:c r="X20" s="102" t="n">
        <x:v>0</x:v>
      </x:c>
      <x:c r="Y20" s="102"/>
      <x:c r="Z20" s="104"/>
      <x:c r="AA20" s="104"/>
      <x:c r="AB20" s="104"/>
      <x:c r="AC20" s="98" t="str">
        <x:v>invalid_audio</x:v>
      </x:c>
      <x:c r="AD20" s="98" t="str">
        <x:v>not_run</x:v>
      </x:c>
      <x:c r="AE20" s="98"/>
      <x:c r="AF20" s="98"/>
      <x:c r="AG20" s="102"/>
      <x:c r="AH20" s="104"/>
      <x:c r="AI20" s="102"/>
      <x:c r="AJ20" s="102"/>
      <x:c r="AK20" s="102"/>
      <x:c r="AL20" s="102"/>
      <x:c r="AM20" s="102"/>
      <x:c r="AN20" s="102"/>
      <x:c r="AO20" s="102"/>
      <x:c r="AP20" s="98"/>
      <x:c r="AQ20" s="104"/>
      <x:c r="AR20" s="98"/>
      <x:c r="AS20" s="98"/>
      <x:c r="AT20" s="104"/>
      <x:c r="AU20" s="102" t="n">
        <x:v>0</x:v>
      </x:c>
      <x:c r="AV20" s="102"/>
      <x:c r="AW20" s="98"/>
      <x:c r="AX20" s="98"/>
      <x:c r="AY20" s="98" t="str">
        <x:v>needs_review</x:v>
      </x:c>
      <x:c r="AZ20" s="104" t="n">
        <x:v>0.7</x:v>
      </x:c>
      <x:c r="BA20" s="98" t="str">
        <x:v>dummy_example</x:v>
      </x:c>
      <x:c r="BB20" s="98" t="str">
        <x:v>DUMMY_LABELER</x:v>
      </x:c>
      <x:c r="BC20" s="105" t="n">
        <x:v>46244.381944444445</x:v>
      </x:c>
      <x:c r="BD20" s="105" t="n">
        <x:v>46244.38159722222</x:v>
      </x:c>
      <x:c r="BE20" s="101" t="str">
        <x:v>P-DUMMY-05</x:v>
      </x:c>
      <x:c r="BF20" s="102" t="n">
        <x:v>1</x:v>
      </x:c>
    </x:row>
    <x:row r="21">
      <x:c r="A21" s="101" t="str">
        <x:v>ATT-DUMMY-017</x:v>
      </x:c>
      <x:c r="B21" s="101" t="str">
        <x:v>SES-DUMMY-009</x:v>
      </x:c>
      <x:c r="C21" s="101" t="str">
        <x:v>STU-DUMMY-006</x:v>
      </x:c>
      <x:c r="D21" s="101" t="str">
        <x:v>dummy_g2_06</x:v>
      </x:c>
      <x:c r="E21" s="98" t="str">
        <x:v>2</x:v>
      </x:c>
      <x:c r="F21" s="98" t="str">
        <x:v>identification</x:v>
      </x:c>
      <x:c r="G21" s="101" t="str">
        <x:v>activity_identify_g2</x:v>
      </x:c>
      <x:c r="H21" s="98" t="str">
        <x:v>leo_word</x:v>
      </x:c>
      <x:c r="I21" s="98" t="str">
        <x:v>read_aloud_word</x:v>
      </x:c>
      <x:c r="J21" s="98" t="str">
        <x:v>word</x:v>
      </x:c>
      <x:c r="K21" s="101" t="str">
        <x:v>prompt_bed</x:v>
      </x:c>
      <x:c r="L21" s="98" t="str">
        <x:v>bed</x:v>
      </x:c>
      <x:c r="M21" s="102" t="n">
        <x:v>1</x:v>
      </x:c>
      <x:c r="N21" s="102" t="n">
        <x:v>1</x:v>
      </x:c>
      <x:c r="O21" s="98"/>
      <x:c r="P21" s="103" t="n">
        <x:v>1300</x:v>
      </x:c>
      <x:c r="Q21" s="103" t="n">
        <x:v>0.77</x:v>
      </x:c>
      <x:c r="R21" s="104" t="n">
        <x:v>0.2</x:v>
      </x:c>
      <x:c r="S21" s="102" t="n">
        <x:v>2</x:v>
      </x:c>
      <x:c r="T21" s="104" t="n">
        <x:v>0.8</x:v>
      </x:c>
      <x:c r="U21" s="98" t="str">
        <x:v>medium</x:v>
      </x:c>
      <x:c r="V21" s="98" t="str">
        <x:v>bed</x:v>
      </x:c>
      <x:c r="W21" s="98" t="str">
        <x:v>bad</x:v>
      </x:c>
      <x:c r="X21" s="102" t="n">
        <x:v>0</x:v>
      </x:c>
      <x:c r="Y21" s="102" t="n">
        <x:v>1</x:v>
      </x:c>
      <x:c r="Z21" s="104" t="n">
        <x:v>0.67</x:v>
      </x:c>
      <x:c r="AA21" s="104" t="n">
        <x:v>0.33</x:v>
      </x:c>
      <x:c r="AB21" s="104" t="n">
        <x:v>1</x:v>
      </x:c>
      <x:c r="AC21" s="98" t="str">
        <x:v>vowel_mismatch</x:v>
      </x:c>
      <x:c r="AD21" s="98" t="str">
        <x:v>completed</x:v>
      </x:c>
      <x:c r="AE21" s="98" t="str">
        <x:v>b eh d</x:v>
      </x:c>
      <x:c r="AF21" s="98" t="str">
        <x:v>b ae d</x:v>
      </x:c>
      <x:c r="AG21" s="102" t="n">
        <x:v>1</x:v>
      </x:c>
      <x:c r="AH21" s="104" t="n">
        <x:v>0.33</x:v>
      </x:c>
      <x:c r="AI21" s="102" t="n">
        <x:v>0</x:v>
      </x:c>
      <x:c r="AJ21" s="102" t="n">
        <x:v>0</x:v>
      </x:c>
      <x:c r="AK21" s="102" t="n">
        <x:v>1</x:v>
      </x:c>
      <x:c r="AL21" s="102" t="n">
        <x:v>0</x:v>
      </x:c>
      <x:c r="AM21" s="102" t="n">
        <x:v>0</x:v>
      </x:c>
      <x:c r="AN21" s="102" t="n">
        <x:v>0</x:v>
      </x:c>
      <x:c r="AO21" s="102" t="n">
        <x:v>1</x:v>
      </x:c>
      <x:c r="AP21" s="98" t="str">
        <x:v>vowel_substitution</x:v>
      </x:c>
      <x:c r="AQ21" s="104" t="n">
        <x:v>0.82</x:v>
      </x:c>
      <x:c r="AR21" s="98"/>
      <x:c r="AS21" s="98" t="str">
        <x:v>partial_match</x:v>
      </x:c>
      <x:c r="AT21" s="104" t="n">
        <x:v>0.7</x:v>
      </x:c>
      <x:c r="AU21" s="102" t="n">
        <x:v>1</x:v>
      </x:c>
      <x:c r="AV21" s="102" t="n">
        <x:v>0</x:v>
      </x:c>
      <x:c r="AW21" s="98" t="str">
        <x:v>bad</x:v>
      </x:c>
      <x:c r="AX21" s="98" t="str">
        <x:v>vowel_mismatch</x:v>
      </x:c>
      <x:c r="AY21" s="98" t="str">
        <x:v>high_support</x:v>
      </x:c>
      <x:c r="AZ21" s="104" t="n">
        <x:v>0.94</x:v>
      </x:c>
      <x:c r="BA21" s="98" t="str">
        <x:v>dummy_example</x:v>
      </x:c>
      <x:c r="BB21" s="98" t="str">
        <x:v>DUMMY_LABELER</x:v>
      </x:c>
      <x:c r="BC21" s="105" t="n">
        <x:v>46244.38888888889</x:v>
      </x:c>
      <x:c r="BD21" s="105" t="n">
        <x:v>46244.388194444444</x:v>
      </x:c>
      <x:c r="BE21" s="101" t="str">
        <x:v>P-DUMMY-06</x:v>
      </x:c>
      <x:c r="BF21" s="102" t="n">
        <x:v>1</x:v>
      </x:c>
    </x:row>
    <x:row r="22">
      <x:c r="A22" s="101" t="str">
        <x:v>ATT-DUMMY-018</x:v>
      </x:c>
      <x:c r="B22" s="101" t="str">
        <x:v>SES-DUMMY-009</x:v>
      </x:c>
      <x:c r="C22" s="101" t="str">
        <x:v>STU-DUMMY-006</x:v>
      </x:c>
      <x:c r="D22" s="101" t="str">
        <x:v>dummy_g2_06</x:v>
      </x:c>
      <x:c r="E22" s="98" t="str">
        <x:v>2</x:v>
      </x:c>
      <x:c r="F22" s="98" t="str">
        <x:v>identification</x:v>
      </x:c>
      <x:c r="G22" s="101" t="str">
        <x:v>activity_identify_g2</x:v>
      </x:c>
      <x:c r="H22" s="98" t="str">
        <x:v>leo_pseudoword</x:v>
      </x:c>
      <x:c r="I22" s="98" t="str">
        <x:v>read_aloud_pseudoword</x:v>
      </x:c>
      <x:c r="J22" s="98" t="str">
        <x:v>pseudoword</x:v>
      </x:c>
      <x:c r="K22" s="101" t="str">
        <x:v>prompt_taf</x:v>
      </x:c>
      <x:c r="L22" s="98" t="str">
        <x:v>taf</x:v>
      </x:c>
      <x:c r="M22" s="102" t="n">
        <x:v>1</x:v>
      </x:c>
      <x:c r="N22" s="102" t="n">
        <x:v>1</x:v>
      </x:c>
      <x:c r="O22" s="98"/>
      <x:c r="P22" s="103" t="n">
        <x:v>1390</x:v>
      </x:c>
      <x:c r="Q22" s="103" t="n">
        <x:v>0.86</x:v>
      </x:c>
      <x:c r="R22" s="104" t="n">
        <x:v>0.23</x:v>
      </x:c>
      <x:c r="S22" s="102" t="n">
        <x:v>3</x:v>
      </x:c>
      <x:c r="T22" s="104" t="n">
        <x:v>0.78</x:v>
      </x:c>
      <x:c r="U22" s="98" t="str">
        <x:v>medium</x:v>
      </x:c>
      <x:c r="V22" s="98" t="str">
        <x:v>taf</x:v>
      </x:c>
      <x:c r="W22" s="98"/>
      <x:c r="X22" s="102" t="n">
        <x:v>0</x:v>
      </x:c>
      <x:c r="Y22" s="102" t="n">
        <x:v>3</x:v>
      </x:c>
      <x:c r="Z22" s="104" t="n">
        <x:v>0</x:v>
      </x:c>
      <x:c r="AA22" s="104" t="n">
        <x:v>1</x:v>
      </x:c>
      <x:c r="AB22" s="104" t="n">
        <x:v>1</x:v>
      </x:c>
      <x:c r="AC22" s="98" t="str">
        <x:v>asr_empty</x:v>
      </x:c>
      <x:c r="AD22" s="98" t="str">
        <x:v>asr_empty</x:v>
      </x:c>
      <x:c r="AE22" s="98" t="str">
        <x:v>t ae f</x:v>
      </x:c>
      <x:c r="AF22" s="98"/>
      <x:c r="AG22" s="102" t="n">
        <x:v>3</x:v>
      </x:c>
      <x:c r="AH22" s="104" t="n">
        <x:v>1</x:v>
      </x:c>
      <x:c r="AI22" s="102" t="n">
        <x:v>0</x:v>
      </x:c>
      <x:c r="AJ22" s="102" t="n">
        <x:v>0</x:v>
      </x:c>
      <x:c r="AK22" s="102" t="n">
        <x:v>0</x:v>
      </x:c>
      <x:c r="AL22" s="102" t="n">
        <x:v>0</x:v>
      </x:c>
      <x:c r="AM22" s="102" t="n">
        <x:v>1</x:v>
      </x:c>
      <x:c r="AN22" s="102" t="n">
        <x:v>0</x:v>
      </x:c>
      <x:c r="AO22" s="102" t="n">
        <x:v>2</x:v>
      </x:c>
      <x:c r="AP22" s="98" t="str">
        <x:v>deletion</x:v>
      </x:c>
      <x:c r="AQ22" s="104" t="n">
        <x:v>0.6</x:v>
      </x:c>
      <x:c r="AR22" s="98" t="str">
        <x:v>asr_empty</x:v>
      </x:c>
      <x:c r="AS22" s="98" t="str">
        <x:v>uncertain</x:v>
      </x:c>
      <x:c r="AT22" s="104" t="n">
        <x:v>0.55</x:v>
      </x:c>
      <x:c r="AU22" s="102" t="n">
        <x:v>0</x:v>
      </x:c>
      <x:c r="AV22" s="102" t="n">
        <x:v>0</x:v>
      </x:c>
      <x:c r="AW22" s="98"/>
      <x:c r="AX22" s="98" t="str">
        <x:v>asr_empty</x:v>
      </x:c>
      <x:c r="AY22" s="98" t="str">
        <x:v>high_support</x:v>
      </x:c>
      <x:c r="AZ22" s="104" t="n">
        <x:v>0.94</x:v>
      </x:c>
      <x:c r="BA22" s="98" t="str">
        <x:v>dummy_example</x:v>
      </x:c>
      <x:c r="BB22" s="98" t="str">
        <x:v>DUMMY_LABELER</x:v>
      </x:c>
      <x:c r="BC22" s="105" t="n">
        <x:v>46244.38888888889</x:v>
      </x:c>
      <x:c r="BD22" s="105" t="n">
        <x:v>46244.38854166667</x:v>
      </x:c>
      <x:c r="BE22" s="101" t="str">
        <x:v>P-DUMMY-06</x:v>
      </x:c>
      <x:c r="BF22" s="102" t="n">
        <x:v>1</x:v>
      </x:c>
    </x:row>
    <x:row r="23">
      <x:c r="A23" s="101" t="str">
        <x:v>ATT-DUMMY-019</x:v>
      </x:c>
      <x:c r="B23" s="101" t="str">
        <x:v>SES-DUMMY-010</x:v>
      </x:c>
      <x:c r="C23" s="101" t="str">
        <x:v>STU-DUMMY-007</x:v>
      </x:c>
      <x:c r="D23" s="101" t="str">
        <x:v>dummy_g3_07</x:v>
      </x:c>
      <x:c r="E23" s="98" t="str">
        <x:v>3</x:v>
      </x:c>
      <x:c r="F23" s="98" t="str">
        <x:v>improvement</x:v>
      </x:c>
      <x:c r="G23" s="101" t="str">
        <x:v>activity_improve_g3</x:v>
      </x:c>
      <x:c r="H23" s="98" t="str">
        <x:v>leo_word</x:v>
      </x:c>
      <x:c r="I23" s="98" t="str">
        <x:v>read_aloud_word</x:v>
      </x:c>
      <x:c r="J23" s="98" t="str">
        <x:v>word</x:v>
      </x:c>
      <x:c r="K23" s="101" t="str">
        <x:v>prompt_moon</x:v>
      </x:c>
      <x:c r="L23" s="98" t="str">
        <x:v>moon</x:v>
      </x:c>
      <x:c r="M23" s="102" t="n">
        <x:v>1</x:v>
      </x:c>
      <x:c r="N23" s="102" t="n">
        <x:v>1</x:v>
      </x:c>
      <x:c r="O23" s="98"/>
      <x:c r="P23" s="103" t="n">
        <x:v>1450</x:v>
      </x:c>
      <x:c r="Q23" s="103" t="n">
        <x:v>0.85</x:v>
      </x:c>
      <x:c r="R23" s="104" t="n">
        <x:v>0.13</x:v>
      </x:c>
      <x:c r="S23" s="102" t="n">
        <x:v>0</x:v>
      </x:c>
      <x:c r="T23" s="104" t="n">
        <x:v>0.95</x:v>
      </x:c>
      <x:c r="U23" s="98" t="str">
        <x:v>high</x:v>
      </x:c>
      <x:c r="V23" s="98" t="str">
        <x:v>moon</x:v>
      </x:c>
      <x:c r="W23" s="98" t="str">
        <x:v>moon</x:v>
      </x:c>
      <x:c r="X23" s="102" t="n">
        <x:v>1</x:v>
      </x:c>
      <x:c r="Y23" s="102" t="n">
        <x:v>0</x:v>
      </x:c>
      <x:c r="Z23" s="104" t="n">
        <x:v>1</x:v>
      </x:c>
      <x:c r="AA23" s="104" t="n">
        <x:v>0</x:v>
      </x:c>
      <x:c r="AB23" s="104" t="n">
        <x:v>0</x:v>
      </x:c>
      <x:c r="AC23" s="98" t="str">
        <x:v>none</x:v>
      </x:c>
      <x:c r="AD23" s="98" t="str">
        <x:v>completed</x:v>
      </x:c>
      <x:c r="AE23" s="98" t="str">
        <x:v>m uw n</x:v>
      </x:c>
      <x:c r="AF23" s="98" t="str">
        <x:v>m uw n</x:v>
      </x:c>
      <x:c r="AG23" s="102" t="n">
        <x:v>0</x:v>
      </x:c>
      <x:c r="AH23" s="104" t="n">
        <x:v>0</x:v>
      </x:c>
      <x:c r="AI23" s="102" t="n">
        <x:v>0</x:v>
      </x:c>
      <x:c r="AJ23" s="102" t="n">
        <x:v>0</x:v>
      </x:c>
      <x:c r="AK23" s="102" t="n">
        <x:v>0</x:v>
      </x:c>
      <x:c r="AL23" s="102" t="n">
        <x:v>0</x:v>
      </x:c>
      <x:c r="AM23" s="102" t="n">
        <x:v>0</x:v>
      </x:c>
      <x:c r="AN23" s="102" t="n">
        <x:v>0</x:v>
      </x:c>
      <x:c r="AO23" s="102" t="n">
        <x:v>0</x:v>
      </x:c>
      <x:c r="AP23" s="98" t="str">
        <x:v>none</x:v>
      </x:c>
      <x:c r="AQ23" s="104" t="n">
        <x:v>0.97</x:v>
      </x:c>
      <x:c r="AR23" s="98"/>
      <x:c r="AS23" s="98" t="str">
        <x:v>correct</x:v>
      </x:c>
      <x:c r="AT23" s="104" t="n">
        <x:v>0.95</x:v>
      </x:c>
      <x:c r="AU23" s="102" t="n">
        <x:v>3</x:v>
      </x:c>
      <x:c r="AV23" s="102" t="n">
        <x:v>1</x:v>
      </x:c>
      <x:c r="AW23" s="98" t="str">
        <x:v>moon</x:v>
      </x:c>
      <x:c r="AX23" s="98" t="str">
        <x:v>none</x:v>
      </x:c>
      <x:c r="AY23" s="98" t="str">
        <x:v>low_support</x:v>
      </x:c>
      <x:c r="AZ23" s="104" t="n">
        <x:v>0.96</x:v>
      </x:c>
      <x:c r="BA23" s="98" t="str">
        <x:v>dummy_example</x:v>
      </x:c>
      <x:c r="BB23" s="98" t="str">
        <x:v>DUMMY_LABELER</x:v>
      </x:c>
      <x:c r="BC23" s="105" t="n">
        <x:v>46244.395833333336</x:v>
      </x:c>
      <x:c r="BD23" s="105" t="n">
        <x:v>46244.39513888889</x:v>
      </x:c>
      <x:c r="BE23" s="101" t="str">
        <x:v>P-DUMMY-07</x:v>
      </x:c>
      <x:c r="BF23" s="102" t="n">
        <x:v>1</x:v>
      </x:c>
    </x:row>
    <x:row r="24">
      <x:c r="A24" s="101" t="str">
        <x:v>ATT-DUMMY-020</x:v>
      </x:c>
      <x:c r="B24" s="101" t="str">
        <x:v>SES-DUMMY-010</x:v>
      </x:c>
      <x:c r="C24" s="101" t="str">
        <x:v>STU-DUMMY-007</x:v>
      </x:c>
      <x:c r="D24" s="101" t="str">
        <x:v>dummy_g3_07</x:v>
      </x:c>
      <x:c r="E24" s="98" t="str">
        <x:v>3</x:v>
      </x:c>
      <x:c r="F24" s="98" t="str">
        <x:v>improvement</x:v>
      </x:c>
      <x:c r="G24" s="101" t="str">
        <x:v>activity_improve_g3</x:v>
      </x:c>
      <x:c r="H24" s="98" t="str">
        <x:v>leo_sentence</x:v>
      </x:c>
      <x:c r="I24" s="98" t="str">
        <x:v>read_aloud_sentence</x:v>
      </x:c>
      <x:c r="J24" s="98" t="str">
        <x:v>sentence</x:v>
      </x:c>
      <x:c r="K24" s="101" t="str">
        <x:v>prompt_book</x:v>
      </x:c>
      <x:c r="L24" s="98" t="str">
        <x:v>the book is red</x:v>
      </x:c>
      <x:c r="M24" s="102" t="n">
        <x:v>1</x:v>
      </x:c>
      <x:c r="N24" s="102" t="n">
        <x:v>1</x:v>
      </x:c>
      <x:c r="O24" s="98"/>
      <x:c r="P24" s="103" t="n">
        <x:v>2140</x:v>
      </x:c>
      <x:c r="Q24" s="103" t="n">
        <x:v>1.3</x:v>
      </x:c>
      <x:c r="R24" s="104" t="n">
        <x:v>0.16</x:v>
      </x:c>
      <x:c r="S24" s="102" t="n">
        <x:v>1</x:v>
      </x:c>
      <x:c r="T24" s="104" t="n">
        <x:v>0.94</x:v>
      </x:c>
      <x:c r="U24" s="98" t="str">
        <x:v>high</x:v>
      </x:c>
      <x:c r="V24" s="98" t="str">
        <x:v>the book is red</x:v>
      </x:c>
      <x:c r="W24" s="98" t="str">
        <x:v>the book is red</x:v>
      </x:c>
      <x:c r="X24" s="102" t="n">
        <x:v>1</x:v>
      </x:c>
      <x:c r="Y24" s="102" t="n">
        <x:v>0</x:v>
      </x:c>
      <x:c r="Z24" s="104" t="n">
        <x:v>1</x:v>
      </x:c>
      <x:c r="AA24" s="104" t="n">
        <x:v>0</x:v>
      </x:c>
      <x:c r="AB24" s="104" t="n">
        <x:v>0</x:v>
      </x:c>
      <x:c r="AC24" s="98" t="str">
        <x:v>none</x:v>
      </x:c>
      <x:c r="AD24" s="98" t="str">
        <x:v>completed</x:v>
      </x:c>
      <x:c r="AE24" s="98" t="str">
        <x:v>dh ah b uh k ih z r eh d</x:v>
      </x:c>
      <x:c r="AF24" s="98" t="str">
        <x:v>dh ah b uh k ih z r eh d</x:v>
      </x:c>
      <x:c r="AG24" s="102" t="n">
        <x:v>0</x:v>
      </x:c>
      <x:c r="AH24" s="104" t="n">
        <x:v>0</x:v>
      </x:c>
      <x:c r="AI24" s="102" t="n">
        <x:v>0</x:v>
      </x:c>
      <x:c r="AJ24" s="102" t="n">
        <x:v>0</x:v>
      </x:c>
      <x:c r="AK24" s="102" t="n">
        <x:v>0</x:v>
      </x:c>
      <x:c r="AL24" s="102" t="n">
        <x:v>0</x:v>
      </x:c>
      <x:c r="AM24" s="102" t="n">
        <x:v>0</x:v>
      </x:c>
      <x:c r="AN24" s="102" t="n">
        <x:v>0</x:v>
      </x:c>
      <x:c r="AO24" s="102" t="n">
        <x:v>0</x:v>
      </x:c>
      <x:c r="AP24" s="98" t="str">
        <x:v>none</x:v>
      </x:c>
      <x:c r="AQ24" s="104" t="n">
        <x:v>0.96</x:v>
      </x:c>
      <x:c r="AR24" s="98"/>
      <x:c r="AS24" s="98" t="str">
        <x:v>correct</x:v>
      </x:c>
      <x:c r="AT24" s="104" t="n">
        <x:v>0.94</x:v>
      </x:c>
      <x:c r="AU24" s="102" t="n">
        <x:v>3</x:v>
      </x:c>
      <x:c r="AV24" s="102" t="n">
        <x:v>1</x:v>
      </x:c>
      <x:c r="AW24" s="98" t="str">
        <x:v>the book is red</x:v>
      </x:c>
      <x:c r="AX24" s="98" t="str">
        <x:v>none</x:v>
      </x:c>
      <x:c r="AY24" s="98" t="str">
        <x:v>low_support</x:v>
      </x:c>
      <x:c r="AZ24" s="104" t="n">
        <x:v>0.96</x:v>
      </x:c>
      <x:c r="BA24" s="98" t="str">
        <x:v>dummy_example</x:v>
      </x:c>
      <x:c r="BB24" s="98" t="str">
        <x:v>DUMMY_LABELER</x:v>
      </x:c>
      <x:c r="BC24" s="105" t="n">
        <x:v>46244.395833333336</x:v>
      </x:c>
      <x:c r="BD24" s="105" t="n">
        <x:v>46244.39548611111</x:v>
      </x:c>
      <x:c r="BE24" s="101" t="str">
        <x:v>P-DUMMY-07</x:v>
      </x:c>
      <x:c r="BF24" s="102" t="n">
        <x:v>1</x:v>
      </x:c>
    </x:row>
    <x:row r="25">
      <x:c r="A25" s="101" t="str">
        <x:v>ATT-DUMMY-021</x:v>
      </x:c>
      <x:c r="B25" s="101" t="str">
        <x:v>SES-DUMMY-011</x:v>
      </x:c>
      <x:c r="C25" s="101" t="str">
        <x:v>STU-DUMMY-008</x:v>
      </x:c>
      <x:c r="D25" s="101" t="str">
        <x:v>dummy_g4_08</x:v>
      </x:c>
      <x:c r="E25" s="98" t="str">
        <x:v>4</x:v>
      </x:c>
      <x:c r="F25" s="98" t="str">
        <x:v>identification</x:v>
      </x:c>
      <x:c r="G25" s="101" t="str">
        <x:v>activity_identify_g4</x:v>
      </x:c>
      <x:c r="H25" s="98" t="str">
        <x:v>leo_pseudoword</x:v>
      </x:c>
      <x:c r="I25" s="98" t="str">
        <x:v>read_aloud_pseudoword</x:v>
      </x:c>
      <x:c r="J25" s="98" t="str">
        <x:v>pseudoword</x:v>
      </x:c>
      <x:c r="K25" s="101" t="str">
        <x:v>prompt_glop</x:v>
      </x:c>
      <x:c r="L25" s="98" t="str">
        <x:v>glop</x:v>
      </x:c>
      <x:c r="M25" s="102" t="n">
        <x:v>1</x:v>
      </x:c>
      <x:c r="N25" s="102" t="n">
        <x:v>1</x:v>
      </x:c>
      <x:c r="O25" s="98"/>
      <x:c r="P25" s="103" t="n">
        <x:v>1660</x:v>
      </x:c>
      <x:c r="Q25" s="103" t="n">
        <x:v>1.04</x:v>
      </x:c>
      <x:c r="R25" s="104" t="n">
        <x:v>0.24</x:v>
      </x:c>
      <x:c r="S25" s="102" t="n">
        <x:v>3</x:v>
      </x:c>
      <x:c r="T25" s="104" t="n">
        <x:v>0.79</x:v>
      </x:c>
      <x:c r="U25" s="98" t="str">
        <x:v>medium</x:v>
      </x:c>
      <x:c r="V25" s="98" t="str">
        <x:v>glop</x:v>
      </x:c>
      <x:c r="W25" s="98" t="str">
        <x:v>gop</x:v>
      </x:c>
      <x:c r="X25" s="102" t="n">
        <x:v>0</x:v>
      </x:c>
      <x:c r="Y25" s="102" t="n">
        <x:v>1</x:v>
      </x:c>
      <x:c r="Z25" s="104" t="n">
        <x:v>0.75</x:v>
      </x:c>
      <x:c r="AA25" s="104" t="n">
        <x:v>0.25</x:v>
      </x:c>
      <x:c r="AB25" s="104" t="n">
        <x:v>1</x:v>
      </x:c>
      <x:c r="AC25" s="98" t="str">
        <x:v>consonant_cluster_error</x:v>
      </x:c>
      <x:c r="AD25" s="98" t="str">
        <x:v>completed</x:v>
      </x:c>
      <x:c r="AE25" s="98" t="str">
        <x:v>g l aa p</x:v>
      </x:c>
      <x:c r="AF25" s="98" t="str">
        <x:v>g aa p</x:v>
      </x:c>
      <x:c r="AG25" s="102" t="n">
        <x:v>1</x:v>
      </x:c>
      <x:c r="AH25" s="104" t="n">
        <x:v>0.25</x:v>
      </x:c>
      <x:c r="AI25" s="102" t="n">
        <x:v>0</x:v>
      </x:c>
      <x:c r="AJ25" s="102" t="n">
        <x:v>0</x:v>
      </x:c>
      <x:c r="AK25" s="102" t="n">
        <x:v>0</x:v>
      </x:c>
      <x:c r="AL25" s="102" t="n">
        <x:v>1</x:v>
      </x:c>
      <x:c r="AM25" s="102" t="n">
        <x:v>1</x:v>
      </x:c>
      <x:c r="AN25" s="102" t="n">
        <x:v>0</x:v>
      </x:c>
      <x:c r="AO25" s="102" t="n">
        <x:v>0</x:v>
      </x:c>
      <x:c r="AP25" s="98" t="str">
        <x:v>cluster_deletion</x:v>
      </x:c>
      <x:c r="AQ25" s="104" t="n">
        <x:v>0.84</x:v>
      </x:c>
      <x:c r="AR25" s="98"/>
      <x:c r="AS25" s="98" t="str">
        <x:v>partial_match</x:v>
      </x:c>
      <x:c r="AT25" s="104" t="n">
        <x:v>0.73</x:v>
      </x:c>
      <x:c r="AU25" s="102" t="n">
        <x:v>1</x:v>
      </x:c>
      <x:c r="AV25" s="102" t="n">
        <x:v>0</x:v>
      </x:c>
      <x:c r="AW25" s="98" t="str">
        <x:v>gop</x:v>
      </x:c>
      <x:c r="AX25" s="98" t="str">
        <x:v>consonant_cluster_error</x:v>
      </x:c>
      <x:c r="AY25" s="98" t="str">
        <x:v>medium_support</x:v>
      </x:c>
      <x:c r="AZ25" s="104" t="n">
        <x:v>0.87</x:v>
      </x:c>
      <x:c r="BA25" s="98" t="str">
        <x:v>dummy_example</x:v>
      </x:c>
      <x:c r="BB25" s="98" t="str">
        <x:v>DUMMY_LABELER</x:v>
      </x:c>
      <x:c r="BC25" s="105" t="n">
        <x:v>46244.40277777778</x:v>
      </x:c>
      <x:c r="BD25" s="105" t="n">
        <x:v>46244.402083333334</x:v>
      </x:c>
      <x:c r="BE25" s="101" t="str">
        <x:v>P-DUMMY-08</x:v>
      </x:c>
      <x:c r="BF25" s="102" t="n">
        <x:v>1</x:v>
      </x:c>
    </x:row>
    <x:row r="26">
      <x:c r="A26" s="101" t="str">
        <x:v>ATT-DUMMY-022</x:v>
      </x:c>
      <x:c r="B26" s="101" t="str">
        <x:v>SES-DUMMY-011</x:v>
      </x:c>
      <x:c r="C26" s="101" t="str">
        <x:v>STU-DUMMY-008</x:v>
      </x:c>
      <x:c r="D26" s="101" t="str">
        <x:v>dummy_g4_08</x:v>
      </x:c>
      <x:c r="E26" s="98" t="str">
        <x:v>4</x:v>
      </x:c>
      <x:c r="F26" s="98" t="str">
        <x:v>identification</x:v>
      </x:c>
      <x:c r="G26" s="101" t="str">
        <x:v>activity_identify_g4</x:v>
      </x:c>
      <x:c r="H26" s="98" t="str">
        <x:v>leo_word</x:v>
      </x:c>
      <x:c r="I26" s="98" t="str">
        <x:v>read_aloud_word</x:v>
      </x:c>
      <x:c r="J26" s="98" t="str">
        <x:v>word</x:v>
      </x:c>
      <x:c r="K26" s="101" t="str">
        <x:v>prompt_chair</x:v>
      </x:c>
      <x:c r="L26" s="98" t="str">
        <x:v>chair</x:v>
      </x:c>
      <x:c r="M26" s="102" t="n">
        <x:v>2</x:v>
      </x:c>
      <x:c r="N26" s="102" t="n">
        <x:v>1</x:v>
      </x:c>
      <x:c r="O26" s="98"/>
      <x:c r="P26" s="103" t="n">
        <x:v>1550</x:v>
      </x:c>
      <x:c r="Q26" s="103" t="n">
        <x:v>0.96</x:v>
      </x:c>
      <x:c r="R26" s="104" t="n">
        <x:v>0.19</x:v>
      </x:c>
      <x:c r="S26" s="102" t="n">
        <x:v>2</x:v>
      </x:c>
      <x:c r="T26" s="104" t="n">
        <x:v>0.85</x:v>
      </x:c>
      <x:c r="U26" s="98" t="str">
        <x:v>medium</x:v>
      </x:c>
      <x:c r="V26" s="98" t="str">
        <x:v>chair</x:v>
      </x:c>
      <x:c r="W26" s="98" t="str">
        <x:v>chair</x:v>
      </x:c>
      <x:c r="X26" s="102" t="n">
        <x:v>1</x:v>
      </x:c>
      <x:c r="Y26" s="102" t="n">
        <x:v>0</x:v>
      </x:c>
      <x:c r="Z26" s="104" t="n">
        <x:v>1</x:v>
      </x:c>
      <x:c r="AA26" s="104" t="n">
        <x:v>0</x:v>
      </x:c>
      <x:c r="AB26" s="104" t="n">
        <x:v>0</x:v>
      </x:c>
      <x:c r="AC26" s="98" t="str">
        <x:v>none</x:v>
      </x:c>
      <x:c r="AD26" s="98" t="str">
        <x:v>completed</x:v>
      </x:c>
      <x:c r="AE26" s="98" t="str">
        <x:v>ch eh r</x:v>
      </x:c>
      <x:c r="AF26" s="98" t="str">
        <x:v>ch eh r</x:v>
      </x:c>
      <x:c r="AG26" s="102" t="n">
        <x:v>0</x:v>
      </x:c>
      <x:c r="AH26" s="104" t="n">
        <x:v>0</x:v>
      </x:c>
      <x:c r="AI26" s="102" t="n">
        <x:v>0</x:v>
      </x:c>
      <x:c r="AJ26" s="102" t="n">
        <x:v>0</x:v>
      </x:c>
      <x:c r="AK26" s="102" t="n">
        <x:v>0</x:v>
      </x:c>
      <x:c r="AL26" s="102" t="n">
        <x:v>0</x:v>
      </x:c>
      <x:c r="AM26" s="102" t="n">
        <x:v>0</x:v>
      </x:c>
      <x:c r="AN26" s="102" t="n">
        <x:v>0</x:v>
      </x:c>
      <x:c r="AO26" s="102" t="n">
        <x:v>0</x:v>
      </x:c>
      <x:c r="AP26" s="98" t="str">
        <x:v>none</x:v>
      </x:c>
      <x:c r="AQ26" s="104" t="n">
        <x:v>0.91</x:v>
      </x:c>
      <x:c r="AR26" s="98" t="str">
        <x:v>retry</x:v>
      </x:c>
      <x:c r="AS26" s="98" t="str">
        <x:v>correct</x:v>
      </x:c>
      <x:c r="AT26" s="104" t="n">
        <x:v>0.88</x:v>
      </x:c>
      <x:c r="AU26" s="102" t="n">
        <x:v>3</x:v>
      </x:c>
      <x:c r="AV26" s="102" t="n">
        <x:v>1</x:v>
      </x:c>
      <x:c r="AW26" s="98" t="str">
        <x:v>chair</x:v>
      </x:c>
      <x:c r="AX26" s="98" t="str">
        <x:v>none</x:v>
      </x:c>
      <x:c r="AY26" s="98" t="str">
        <x:v>medium_support</x:v>
      </x:c>
      <x:c r="AZ26" s="104" t="n">
        <x:v>0.87</x:v>
      </x:c>
      <x:c r="BA26" s="98" t="str">
        <x:v>dummy_example</x:v>
      </x:c>
      <x:c r="BB26" s="98" t="str">
        <x:v>DUMMY_LABELER</x:v>
      </x:c>
      <x:c r="BC26" s="105" t="n">
        <x:v>46244.40277777778</x:v>
      </x:c>
      <x:c r="BD26" s="105" t="n">
        <x:v>46244.40243055556</x:v>
      </x:c>
      <x:c r="BE26" s="101" t="str">
        <x:v>P-DUMMY-08</x:v>
      </x:c>
      <x:c r="BF26" s="102" t="n">
        <x:v>1</x:v>
      </x:c>
    </x:row>
    <x:row r="27">
      <x:c r="A27" s="101" t="str">
        <x:v>ATT-DUMMY-023</x:v>
      </x:c>
      <x:c r="B27" s="101" t="str">
        <x:v>SES-DUMMY-012</x:v>
      </x:c>
      <x:c r="C27" s="101" t="str">
        <x:v>STU-DUMMY-008</x:v>
      </x:c>
      <x:c r="D27" s="101" t="str">
        <x:v>dummy_g4_08</x:v>
      </x:c>
      <x:c r="E27" s="98" t="str">
        <x:v>4</x:v>
      </x:c>
      <x:c r="F27" s="98" t="str">
        <x:v>improvement</x:v>
      </x:c>
      <x:c r="G27" s="101" t="str">
        <x:v>activity_improve_g4</x:v>
      </x:c>
      <x:c r="H27" s="98" t="str">
        <x:v>leo_word</x:v>
      </x:c>
      <x:c r="I27" s="98" t="str">
        <x:v>read_aloud_word</x:v>
      </x:c>
      <x:c r="J27" s="98" t="str">
        <x:v>word</x:v>
      </x:c>
      <x:c r="K27" s="101" t="str">
        <x:v>prompt_spoon</x:v>
      </x:c>
      <x:c r="L27" s="98" t="str">
        <x:v>spoon</x:v>
      </x:c>
      <x:c r="M27" s="102" t="n">
        <x:v>1</x:v>
      </x:c>
      <x:c r="N27" s="102" t="n">
        <x:v>1</x:v>
      </x:c>
      <x:c r="O27" s="98"/>
      <x:c r="P27" s="103" t="n">
        <x:v>1720</x:v>
      </x:c>
      <x:c r="Q27" s="103" t="n">
        <x:v>1.1</x:v>
      </x:c>
      <x:c r="R27" s="104" t="n">
        <x:v>0.29</x:v>
      </x:c>
      <x:c r="S27" s="102" t="n">
        <x:v>3</x:v>
      </x:c>
      <x:c r="T27" s="104" t="n">
        <x:v>0.77</x:v>
      </x:c>
      <x:c r="U27" s="98" t="str">
        <x:v>medium</x:v>
      </x:c>
      <x:c r="V27" s="98" t="str">
        <x:v>spoon</x:v>
      </x:c>
      <x:c r="W27" s="98" t="str">
        <x:v>soon</x:v>
      </x:c>
      <x:c r="X27" s="102" t="n">
        <x:v>0</x:v>
      </x:c>
      <x:c r="Y27" s="102" t="n">
        <x:v>1</x:v>
      </x:c>
      <x:c r="Z27" s="104" t="n">
        <x:v>0.8</x:v>
      </x:c>
      <x:c r="AA27" s="104" t="n">
        <x:v>0.2</x:v>
      </x:c>
      <x:c r="AB27" s="104" t="n">
        <x:v>1</x:v>
      </x:c>
      <x:c r="AC27" s="98" t="str">
        <x:v>consonant_cluster_error</x:v>
      </x:c>
      <x:c r="AD27" s="98" t="str">
        <x:v>completed</x:v>
      </x:c>
      <x:c r="AE27" s="98" t="str">
        <x:v>s p uw n</x:v>
      </x:c>
      <x:c r="AF27" s="98" t="str">
        <x:v>s uw n</x:v>
      </x:c>
      <x:c r="AG27" s="102" t="n">
        <x:v>1</x:v>
      </x:c>
      <x:c r="AH27" s="104" t="n">
        <x:v>0.25</x:v>
      </x:c>
      <x:c r="AI27" s="102" t="n">
        <x:v>0</x:v>
      </x:c>
      <x:c r="AJ27" s="102" t="n">
        <x:v>0</x:v>
      </x:c>
      <x:c r="AK27" s="102" t="n">
        <x:v>0</x:v>
      </x:c>
      <x:c r="AL27" s="102" t="n">
        <x:v>1</x:v>
      </x:c>
      <x:c r="AM27" s="102" t="n">
        <x:v>1</x:v>
      </x:c>
      <x:c r="AN27" s="102" t="n">
        <x:v>0</x:v>
      </x:c>
      <x:c r="AO27" s="102" t="n">
        <x:v>0</x:v>
      </x:c>
      <x:c r="AP27" s="98" t="str">
        <x:v>cluster_deletion</x:v>
      </x:c>
      <x:c r="AQ27" s="104" t="n">
        <x:v>0.82</x:v>
      </x:c>
      <x:c r="AR27" s="98"/>
      <x:c r="AS27" s="98" t="str">
        <x:v>partial_match</x:v>
      </x:c>
      <x:c r="AT27" s="104" t="n">
        <x:v>0.69</x:v>
      </x:c>
      <x:c r="AU27" s="102" t="n">
        <x:v>1</x:v>
      </x:c>
      <x:c r="AV27" s="102" t="n">
        <x:v>0</x:v>
      </x:c>
      <x:c r="AW27" s="98" t="str">
        <x:v>soon</x:v>
      </x:c>
      <x:c r="AX27" s="98" t="str">
        <x:v>consonant_cluster_error</x:v>
      </x:c>
      <x:c r="AY27" s="98" t="str">
        <x:v>high_support</x:v>
      </x:c>
      <x:c r="AZ27" s="104" t="n">
        <x:v>0.92</x:v>
      </x:c>
      <x:c r="BA27" s="98" t="str">
        <x:v>dummy_example</x:v>
      </x:c>
      <x:c r="BB27" s="98" t="str">
        <x:v>DUMMY_LABELER</x:v>
      </x:c>
      <x:c r="BC27" s="105" t="n">
        <x:v>46244.40972222222</x:v>
      </x:c>
      <x:c r="BD27" s="105" t="n">
        <x:v>46244.40902777778</x:v>
      </x:c>
      <x:c r="BE27" s="101" t="str">
        <x:v>P-DUMMY-08</x:v>
      </x:c>
      <x:c r="BF27" s="102" t="n">
        <x:v>1</x:v>
      </x:c>
    </x:row>
    <x:row r="28">
      <x:c r="A28" s="101" t="str">
        <x:v>ATT-DUMMY-024</x:v>
      </x:c>
      <x:c r="B28" s="101" t="str">
        <x:v>SES-DUMMY-012</x:v>
      </x:c>
      <x:c r="C28" s="101" t="str">
        <x:v>STU-DUMMY-008</x:v>
      </x:c>
      <x:c r="D28" s="101" t="str">
        <x:v>dummy_g4_08</x:v>
      </x:c>
      <x:c r="E28" s="98" t="str">
        <x:v>4</x:v>
      </x:c>
      <x:c r="F28" s="98" t="str">
        <x:v>improvement</x:v>
      </x:c>
      <x:c r="G28" s="101" t="str">
        <x:v>activity_improve_g4</x:v>
      </x:c>
      <x:c r="H28" s="98" t="str">
        <x:v>leo_sentence</x:v>
      </x:c>
      <x:c r="I28" s="98" t="str">
        <x:v>read_aloud_sentence</x:v>
      </x:c>
      <x:c r="J28" s="98" t="str">
        <x:v>sentence</x:v>
      </x:c>
      <x:c r="K28" s="101" t="str">
        <x:v>prompt_green</x:v>
      </x:c>
      <x:c r="L28" s="98" t="str">
        <x:v>the grass is green</x:v>
      </x:c>
      <x:c r="M28" s="102" t="n">
        <x:v>1</x:v>
      </x:c>
      <x:c r="N28" s="102" t="n">
        <x:v>1</x:v>
      </x:c>
      <x:c r="O28" s="98"/>
      <x:c r="P28" s="103" t="n">
        <x:v>2510</x:v>
      </x:c>
      <x:c r="Q28" s="103" t="n">
        <x:v>1.64</x:v>
      </x:c>
      <x:c r="R28" s="104" t="n">
        <x:v>0.31</x:v>
      </x:c>
      <x:c r="S28" s="102" t="n">
        <x:v>4</x:v>
      </x:c>
      <x:c r="T28" s="104" t="n">
        <x:v>0.75</x:v>
      </x:c>
      <x:c r="U28" s="98" t="str">
        <x:v>low</x:v>
      </x:c>
      <x:c r="V28" s="98" t="str">
        <x:v>the grass is green</x:v>
      </x:c>
      <x:c r="W28" s="98" t="str">
        <x:v>the glass is green</x:v>
      </x:c>
      <x:c r="X28" s="102" t="n">
        <x:v>0</x:v>
      </x:c>
      <x:c r="Y28" s="102" t="n">
        <x:v>1</x:v>
      </x:c>
      <x:c r="Z28" s="104" t="n">
        <x:v>0.94</x:v>
      </x:c>
      <x:c r="AA28" s="104" t="n">
        <x:v>0.06</x:v>
      </x:c>
      <x:c r="AB28" s="104" t="n">
        <x:v>1</x:v>
      </x:c>
      <x:c r="AC28" s="98" t="str">
        <x:v>consonant_cluster_error</x:v>
      </x:c>
      <x:c r="AD28" s="98" t="str">
        <x:v>completed</x:v>
      </x:c>
      <x:c r="AE28" s="98" t="str">
        <x:v>dh ah g r ae s ih z g r iy n</x:v>
      </x:c>
      <x:c r="AF28" s="98" t="str">
        <x:v>dh ah g l ae s ih z g r iy n</x:v>
      </x:c>
      <x:c r="AG28" s="102" t="n">
        <x:v>1</x:v>
      </x:c>
      <x:c r="AH28" s="104" t="n">
        <x:v>0.09</x:v>
      </x:c>
      <x:c r="AI28" s="102" t="n">
        <x:v>0</x:v>
      </x:c>
      <x:c r="AJ28" s="102" t="n">
        <x:v>0</x:v>
      </x:c>
      <x:c r="AK28" s="102" t="n">
        <x:v>0</x:v>
      </x:c>
      <x:c r="AL28" s="102" t="n">
        <x:v>1</x:v>
      </x:c>
      <x:c r="AM28" s="102" t="n">
        <x:v>0</x:v>
      </x:c>
      <x:c r="AN28" s="102" t="n">
        <x:v>0</x:v>
      </x:c>
      <x:c r="AO28" s="102" t="n">
        <x:v>1</x:v>
      </x:c>
      <x:c r="AP28" s="98" t="str">
        <x:v>cluster_substitution</x:v>
      </x:c>
      <x:c r="AQ28" s="104" t="n">
        <x:v>0.8</x:v>
      </x:c>
      <x:c r="AR28" s="98"/>
      <x:c r="AS28" s="98" t="str">
        <x:v>partial_match</x:v>
      </x:c>
      <x:c r="AT28" s="104" t="n">
        <x:v>0.68</x:v>
      </x:c>
      <x:c r="AU28" s="102" t="n">
        <x:v>1</x:v>
      </x:c>
      <x:c r="AV28" s="102" t="n">
        <x:v>0</x:v>
      </x:c>
      <x:c r="AW28" s="98" t="str">
        <x:v>the glass is green</x:v>
      </x:c>
      <x:c r="AX28" s="98" t="str">
        <x:v>consonant_cluster_error</x:v>
      </x:c>
      <x:c r="AY28" s="98" t="str">
        <x:v>high_support</x:v>
      </x:c>
      <x:c r="AZ28" s="104" t="n">
        <x:v>0.92</x:v>
      </x:c>
      <x:c r="BA28" s="98" t="str">
        <x:v>dummy_example</x:v>
      </x:c>
      <x:c r="BB28" s="98" t="str">
        <x:v>DUMMY_LABELER</x:v>
      </x:c>
      <x:c r="BC28" s="105" t="n">
        <x:v>46244.40972222222</x:v>
      </x:c>
      <x:c r="BD28" s="105" t="n">
        <x:v>46244.409375</x:v>
      </x:c>
      <x:c r="BE28" s="101" t="str">
        <x:v>P-DUMMY-08</x:v>
      </x:c>
      <x:c r="BF28" s="102" t="n">
        <x:v>1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80822426b2124450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  <x:selection pane="topRight" activeCell="C1" sqref="C1"/>
      <x:selection pane="bottomLeft" activeCell="A5" sqref="A5"/>
      <x:selection pane="bottomRight" activeCell="C5" sqref="C5"/>
    </x:sheetView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9" hidden="0" customWidth="1"/>
    <x:col min="5" max="5" width="18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22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8" hidden="0" customWidth="1"/>
    <x:col min="27" max="27" width="18" hidden="0" customWidth="1"/>
    <x:col min="28" max="28" width="18" hidden="0" customWidth="1"/>
    <x:col min="29" max="29" width="15" hidden="0" customWidth="1"/>
    <x:col min="30" max="30" width="19" hidden="0" customWidth="1"/>
    <x:col min="31" max="31" width="19" hidden="0" customWidth="1"/>
    <x:col min="32" max="32" width="19" hidden="0" customWidth="1"/>
    <x:col min="33" max="33" width="15" hidden="0" customWidth="1"/>
  </x:cols>
  <x:sheetData>
    <x:row r="1" ht="30" customHeight="1">
      <x:c r="A1" s="97" t="str">
        <x:v>DUMMY DATA ONLY - DO NOT COPY INTO THE FINAL TRAINING EXPORT</x:v>
      </x:c>
      <x:c r="B1" s="97"/>
      <x:c r="C1" s="97"/>
      <x:c r="D1" s="97"/>
      <x:c r="E1" s="97"/>
      <x:c r="F1" s="97"/>
      <x:c r="G1" s="97"/>
      <x:c r="H1" s="97"/>
      <x:c r="I1" s="97"/>
      <x:c r="J1" s="97"/>
      <x:c r="K1" s="97"/>
      <x:c r="L1" s="97"/>
      <x:c r="M1" s="97"/>
      <x:c r="N1" s="97"/>
    </x:row>
    <x:row r="2" ht="32" customHeight="1">
      <x:c r="A2" s="100" t="str">
        <x:v>Reviewed session-level examples. Reviewed source: LexiLand_Speech_Session_Training_Dummy_Data.csv. All rows must retain is_dummy_data=1.</x:v>
      </x:c>
      <x:c r="B2" s="100"/>
      <x:c r="C2" s="100"/>
      <x:c r="D2" s="100"/>
      <x:c r="E2" s="100"/>
      <x:c r="F2" s="100"/>
      <x:c r="G2" s="100"/>
      <x:c r="H2" s="100"/>
      <x:c r="I2" s="100"/>
      <x:c r="J2" s="100"/>
      <x:c r="K2" s="100"/>
      <x:c r="L2" s="100"/>
      <x:c r="M2" s="100"/>
      <x:c r="N2" s="100"/>
    </x:row>
    <x:row r="4" ht="46" customHeight="1">
      <x:c r="A4" s="67" t="str">
        <x:v>session_id</x:v>
      </x:c>
      <x:c r="B4" s="71" t="str">
        <x:v>grade</x:v>
      </x:c>
      <x:c r="C4" s="71" t="str">
        <x:v>mode</x:v>
      </x:c>
      <x:c r="D4" s="67" t="str">
        <x:v>activity_id</x:v>
      </x:c>
      <x:c r="E4" s="71" t="str">
        <x:v>status</x:v>
      </x:c>
      <x:c r="F4" s="87" t="str">
        <x:v>total_attempts</x:v>
      </x:c>
      <x:c r="G4" s="87" t="str">
        <x:v>valid_attempts</x:v>
      </x:c>
      <x:c r="H4" s="87" t="str">
        <x:v>invalid_attempts</x:v>
      </x:c>
      <x:c r="I4" s="87" t="str">
        <x:v>retry_rate</x:v>
      </x:c>
      <x:c r="J4" s="87" t="str">
        <x:v>word_accuracy</x:v>
      </x:c>
      <x:c r="K4" s="87" t="str">
        <x:v>pseudoword_accuracy</x:v>
      </x:c>
      <x:c r="L4" s="87" t="str">
        <x:v>sentence_accuracy</x:v>
      </x:c>
      <x:c r="M4" s="87" t="str">
        <x:v>mean_character_error_rate</x:v>
      </x:c>
      <x:c r="N4" s="87" t="str">
        <x:v>mean_word_error_rate</x:v>
      </x:c>
      <x:c r="O4" s="87" t="str">
        <x:v>mean_partial_match_score</x:v>
      </x:c>
      <x:c r="P4" s="87" t="str">
        <x:v>mean_phoneme_error_rate</x:v>
      </x:c>
      <x:c r="Q4" s="87" t="str">
        <x:v>initial_sound_error_rate</x:v>
      </x:c>
      <x:c r="R4" s="87" t="str">
        <x:v>final_sound_error_rate</x:v>
      </x:c>
      <x:c r="S4" s="87" t="str">
        <x:v>vowel_mismatch_rate</x:v>
      </x:c>
      <x:c r="T4" s="87" t="str">
        <x:v>consonant_cluster_error_rate</x:v>
      </x:c>
      <x:c r="U4" s="87" t="str">
        <x:v>common_phoneme_error_pattern</x:v>
      </x:c>
      <x:c r="V4" s="87" t="str">
        <x:v>mean_speech_duration_sec</x:v>
      </x:c>
      <x:c r="W4" s="87" t="str">
        <x:v>mean_pause_count</x:v>
      </x:c>
      <x:c r="X4" s="87" t="str">
        <x:v>mean_audio_quality_score</x:v>
      </x:c>
      <x:c r="Y4" s="87" t="str">
        <x:v>mean_pronunciation_model_score</x:v>
      </x:c>
      <x:c r="Z4" s="87" t="str">
        <x:v>labelled_attempt_count</x:v>
      </x:c>
      <x:c r="AA4" s="79" t="str">
        <x:v>speech_support_label</x:v>
      </x:c>
      <x:c r="AB4" s="79" t="str">
        <x:v>label_confidence</x:v>
      </x:c>
      <x:c r="AC4" s="75" t="str">
        <x:v>dataset_ready</x:v>
      </x:c>
      <x:c r="AD4" s="75" t="str">
        <x:v>created_at</x:v>
      </x:c>
      <x:c r="AE4" s="75" t="str">
        <x:v>completed_at</x:v>
      </x:c>
      <x:c r="AF4" s="67" t="str">
        <x:v>participant_code</x:v>
      </x:c>
      <x:c r="AG4" s="75" t="str">
        <x:v>is_dummy_data</x:v>
      </x:c>
    </x:row>
    <x:row r="5">
      <x:c r="A5" s="101" t="str">
        <x:v>SES-DUMMY-001</x:v>
      </x:c>
      <x:c r="B5" s="98" t="str">
        <x:v>2</x:v>
      </x:c>
      <x:c r="C5" s="98" t="str">
        <x:v>identification</x:v>
      </x:c>
      <x:c r="D5" s="101" t="str">
        <x:v>activity_identify_g2</x:v>
      </x:c>
      <x:c r="E5" s="98" t="str">
        <x:v>completed</x:v>
      </x:c>
      <x:c r="F5" s="102" t="n">
        <x:v>2</x:v>
      </x:c>
      <x:c r="G5" s="102" t="n">
        <x:v>2</x:v>
      </x:c>
      <x:c r="H5" s="102" t="n">
        <x:v>0</x:v>
      </x:c>
      <x:c r="I5" s="104" t="n">
        <x:v>0</x:v>
      </x:c>
      <x:c r="J5" s="104" t="n">
        <x:v>1</x:v>
      </x:c>
      <x:c r="K5" s="104" t="n">
        <x:v>1</x:v>
      </x:c>
      <x:c r="L5" s="104"/>
      <x:c r="M5" s="104" t="n">
        <x:v>0</x:v>
      </x:c>
      <x:c r="N5" s="104" t="n">
        <x:v>0</x:v>
      </x:c>
      <x:c r="O5" s="104" t="n">
        <x:v>1</x:v>
      </x:c>
      <x:c r="P5" s="104" t="n">
        <x:v>0</x:v>
      </x:c>
      <x:c r="Q5" s="104" t="n">
        <x:v>0</x:v>
      </x:c>
      <x:c r="R5" s="104" t="n">
        <x:v>0</x:v>
      </x:c>
      <x:c r="S5" s="104" t="n">
        <x:v>0</x:v>
      </x:c>
      <x:c r="T5" s="104" t="n">
        <x:v>0</x:v>
      </x:c>
      <x:c r="U5" s="98"/>
      <x:c r="V5" s="103" t="n">
        <x:v>0.7</x:v>
      </x:c>
      <x:c r="W5" s="102" t="n">
        <x:v>0</x:v>
      </x:c>
      <x:c r="X5" s="104" t="n">
        <x:v>0.945</x:v>
      </x:c>
      <x:c r="Y5" s="104" t="n">
        <x:v>0.95</x:v>
      </x:c>
      <x:c r="Z5" s="102" t="n">
        <x:v>2</x:v>
      </x:c>
      <x:c r="AA5" s="98" t="str">
        <x:v>low_support</x:v>
      </x:c>
      <x:c r="AB5" s="104" t="n">
        <x:v>0.95</x:v>
      </x:c>
      <x:c r="AC5" s="102" t="n">
        <x:v>1</x:v>
      </x:c>
      <x:c r="AD5" s="105" t="n">
        <x:v>46244.33194444444</x:v>
      </x:c>
      <x:c r="AE5" s="105" t="n">
        <x:v>46244.333333333336</x:v>
      </x:c>
      <x:c r="AF5" s="101" t="str">
        <x:v>P-DUMMY-01</x:v>
      </x:c>
      <x:c r="AG5" s="102" t="n">
        <x:v>1</x:v>
      </x:c>
    </x:row>
    <x:row r="6">
      <x:c r="A6" s="101" t="str">
        <x:v>SES-DUMMY-002</x:v>
      </x:c>
      <x:c r="B6" s="98" t="str">
        <x:v>2</x:v>
      </x:c>
      <x:c r="C6" s="98" t="str">
        <x:v>improvement</x:v>
      </x:c>
      <x:c r="D6" s="101" t="str">
        <x:v>activity_improve_g2</x:v>
      </x:c>
      <x:c r="E6" s="98" t="str">
        <x:v>completed</x:v>
      </x:c>
      <x:c r="F6" s="102" t="n">
        <x:v>2</x:v>
      </x:c>
      <x:c r="G6" s="102" t="n">
        <x:v>2</x:v>
      </x:c>
      <x:c r="H6" s="102" t="n">
        <x:v>0</x:v>
      </x:c>
      <x:c r="I6" s="104" t="n">
        <x:v>0.5</x:v>
      </x:c>
      <x:c r="J6" s="104"/>
      <x:c r="K6" s="104"/>
      <x:c r="L6" s="104" t="n">
        <x:v>1</x:v>
      </x:c>
      <x:c r="M6" s="104" t="n">
        <x:v>0</x:v>
      </x:c>
      <x:c r="N6" s="104" t="n">
        <x:v>0</x:v>
      </x:c>
      <x:c r="O6" s="104" t="n">
        <x:v>1</x:v>
      </x:c>
      <x:c r="P6" s="104" t="n">
        <x:v>0</x:v>
      </x:c>
      <x:c r="Q6" s="104" t="n">
        <x:v>0</x:v>
      </x:c>
      <x:c r="R6" s="104" t="n">
        <x:v>0</x:v>
      </x:c>
      <x:c r="S6" s="104" t="n">
        <x:v>0</x:v>
      </x:c>
      <x:c r="T6" s="104" t="n">
        <x:v>0</x:v>
      </x:c>
      <x:c r="U6" s="98"/>
      <x:c r="V6" s="103" t="n">
        <x:v>1.385</x:v>
      </x:c>
      <x:c r="W6" s="102" t="n">
        <x:v>1.5</x:v>
      </x:c>
      <x:c r="X6" s="104" t="n">
        <x:v>0.89</x:v>
      </x:c>
      <x:c r="Y6" s="104" t="n">
        <x:v>0.91</x:v>
      </x:c>
      <x:c r="Z6" s="102" t="n">
        <x:v>2</x:v>
      </x:c>
      <x:c r="AA6" s="98" t="str">
        <x:v>low_support</x:v>
      </x:c>
      <x:c r="AB6" s="104" t="n">
        <x:v>0.92</x:v>
      </x:c>
      <x:c r="AC6" s="102" t="n">
        <x:v>1</x:v>
      </x:c>
      <x:c r="AD6" s="105" t="n">
        <x:v>46244.33888888889</x:v>
      </x:c>
      <x:c r="AE6" s="105" t="n">
        <x:v>46244.34027777778</x:v>
      </x:c>
      <x:c r="AF6" s="101" t="str">
        <x:v>P-DUMMY-01</x:v>
      </x:c>
      <x:c r="AG6" s="102" t="n">
        <x:v>1</x:v>
      </x:c>
    </x:row>
    <x:row r="7">
      <x:c r="A7" s="101" t="str">
        <x:v>SES-DUMMY-003</x:v>
      </x:c>
      <x:c r="B7" s="98" t="str">
        <x:v>3</x:v>
      </x:c>
      <x:c r="C7" s="98" t="str">
        <x:v>identification</x:v>
      </x:c>
      <x:c r="D7" s="101" t="str">
        <x:v>activity_identify_g3</x:v>
      </x:c>
      <x:c r="E7" s="98" t="str">
        <x:v>completed</x:v>
      </x:c>
      <x:c r="F7" s="102" t="n">
        <x:v>2</x:v>
      </x:c>
      <x:c r="G7" s="102" t="n">
        <x:v>2</x:v>
      </x:c>
      <x:c r="H7" s="102" t="n">
        <x:v>0</x:v>
      </x:c>
      <x:c r="I7" s="104" t="n">
        <x:v>0</x:v>
      </x:c>
      <x:c r="J7" s="104" t="n">
        <x:v>1</x:v>
      </x:c>
      <x:c r="K7" s="104" t="n">
        <x:v>0</x:v>
      </x:c>
      <x:c r="L7" s="104"/>
      <x:c r="M7" s="104" t="n">
        <x:v>0.125</x:v>
      </x:c>
      <x:c r="N7" s="104" t="n">
        <x:v>0.5</x:v>
      </x:c>
      <x:c r="O7" s="104" t="n">
        <x:v>0.875</x:v>
      </x:c>
      <x:c r="P7" s="104" t="n">
        <x:v>0.125</x:v>
      </x:c>
      <x:c r="Q7" s="104" t="n">
        <x:v>0.5</x:v>
      </x:c>
      <x:c r="R7" s="104" t="n">
        <x:v>0</x:v>
      </x:c>
      <x:c r="S7" s="104" t="n">
        <x:v>0</x:v>
      </x:c>
      <x:c r="T7" s="104" t="n">
        <x:v>0.5</x:v>
      </x:c>
      <x:c r="U7" s="98" t="str">
        <x:v>initial_deletion</x:v>
      </x:c>
      <x:c r="V7" s="103" t="n">
        <x:v>0.835</x:v>
      </x:c>
      <x:c r="W7" s="102" t="n">
        <x:v>1.5</x:v>
      </x:c>
      <x:c r="X7" s="104" t="n">
        <x:v>0.885</x:v>
      </x:c>
      <x:c r="Y7" s="104" t="n">
        <x:v>0.86</x:v>
      </x:c>
      <x:c r="Z7" s="102" t="n">
        <x:v>2</x:v>
      </x:c>
      <x:c r="AA7" s="98" t="str">
        <x:v>medium_support</x:v>
      </x:c>
      <x:c r="AB7" s="104" t="n">
        <x:v>0.86</x:v>
      </x:c>
      <x:c r="AC7" s="102" t="n">
        <x:v>1</x:v>
      </x:c>
      <x:c r="AD7" s="105" t="n">
        <x:v>46244.34583333333</x:v>
      </x:c>
      <x:c r="AE7" s="105" t="n">
        <x:v>46244.34722222222</x:v>
      </x:c>
      <x:c r="AF7" s="101" t="str">
        <x:v>P-DUMMY-02</x:v>
      </x:c>
      <x:c r="AG7" s="102" t="n">
        <x:v>1</x:v>
      </x:c>
    </x:row>
    <x:row r="8">
      <x:c r="A8" s="101" t="str">
        <x:v>SES-DUMMY-004</x:v>
      </x:c>
      <x:c r="B8" s="98" t="str">
        <x:v>3</x:v>
      </x:c>
      <x:c r="C8" s="98" t="str">
        <x:v>improvement</x:v>
      </x:c>
      <x:c r="D8" s="101" t="str">
        <x:v>activity_improve_g3</x:v>
      </x:c>
      <x:c r="E8" s="98" t="str">
        <x:v>completed</x:v>
      </x:c>
      <x:c r="F8" s="102" t="n">
        <x:v>2</x:v>
      </x:c>
      <x:c r="G8" s="102" t="n">
        <x:v>1</x:v>
      </x:c>
      <x:c r="H8" s="102" t="n">
        <x:v>1</x:v>
      </x:c>
      <x:c r="I8" s="104" t="n">
        <x:v>0.5</x:v>
      </x:c>
      <x:c r="J8" s="104" t="n">
        <x:v>0</x:v>
      </x:c>
      <x:c r="K8" s="104"/>
      <x:c r="L8" s="104"/>
      <x:c r="M8" s="104" t="n">
        <x:v>0.125</x:v>
      </x:c>
      <x:c r="N8" s="104" t="n">
        <x:v>0.5</x:v>
      </x:c>
      <x:c r="O8" s="104" t="n">
        <x:v>0.75</x:v>
      </x:c>
      <x:c r="P8" s="104" t="n">
        <x:v>0.25</x:v>
      </x:c>
      <x:c r="Q8" s="104" t="n">
        <x:v>0</x:v>
      </x:c>
      <x:c r="R8" s="104" t="n">
        <x:v>0</x:v>
      </x:c>
      <x:c r="S8" s="104" t="n">
        <x:v>0</x:v>
      </x:c>
      <x:c r="T8" s="104" t="n">
        <x:v>1</x:v>
      </x:c>
      <x:c r="U8" s="98" t="str">
        <x:v>cluster_deletion</x:v>
      </x:c>
      <x:c r="V8" s="103" t="n">
        <x:v>0.91</x:v>
      </x:c>
      <x:c r="W8" s="102" t="n">
        <x:v>2</x:v>
      </x:c>
      <x:c r="X8" s="104" t="n">
        <x:v>0.84</x:v>
      </x:c>
      <x:c r="Y8" s="104" t="n">
        <x:v>0.76</x:v>
      </x:c>
      <x:c r="Z8" s="102" t="n">
        <x:v>2</x:v>
      </x:c>
      <x:c r="AA8" s="98" t="str">
        <x:v>medium_support</x:v>
      </x:c>
      <x:c r="AB8" s="104" t="n">
        <x:v>0.84</x:v>
      </x:c>
      <x:c r="AC8" s="102" t="n">
        <x:v>1</x:v>
      </x:c>
      <x:c r="AD8" s="105" t="n">
        <x:v>46244.35277777778</x:v>
      </x:c>
      <x:c r="AE8" s="105" t="n">
        <x:v>46244.354166666664</x:v>
      </x:c>
      <x:c r="AF8" s="101" t="str">
        <x:v>P-DUMMY-02</x:v>
      </x:c>
      <x:c r="AG8" s="102" t="n">
        <x:v>1</x:v>
      </x:c>
    </x:row>
    <x:row r="9">
      <x:c r="A9" s="101" t="str">
        <x:v>SES-DUMMY-005</x:v>
      </x:c>
      <x:c r="B9" s="98" t="str">
        <x:v>4</x:v>
      </x:c>
      <x:c r="C9" s="98" t="str">
        <x:v>identification</x:v>
      </x:c>
      <x:c r="D9" s="101" t="str">
        <x:v>activity_identify_g4</x:v>
      </x:c>
      <x:c r="E9" s="98" t="str">
        <x:v>completed</x:v>
      </x:c>
      <x:c r="F9" s="102" t="n">
        <x:v>2</x:v>
      </x:c>
      <x:c r="G9" s="102" t="n">
        <x:v>2</x:v>
      </x:c>
      <x:c r="H9" s="102" t="n">
        <x:v>0</x:v>
      </x:c>
      <x:c r="I9" s="104" t="n">
        <x:v>0</x:v>
      </x:c>
      <x:c r="J9" s="104"/>
      <x:c r="K9" s="104" t="n">
        <x:v>0</x:v>
      </x:c>
      <x:c r="L9" s="104" t="n">
        <x:v>0</x:v>
      </x:c>
      <x:c r="M9" s="104" t="n">
        <x:v>0.1834</x:v>
      </x:c>
      <x:c r="N9" s="104" t="n">
        <x:v>1</x:v>
      </x:c>
      <x:c r="O9" s="104" t="n">
        <x:v>0.81</x:v>
      </x:c>
      <x:c r="P9" s="104" t="n">
        <x:v>0.2</x:v>
      </x:c>
      <x:c r="Q9" s="104" t="n">
        <x:v>0</x:v>
      </x:c>
      <x:c r="R9" s="104" t="n">
        <x:v>0</x:v>
      </x:c>
      <x:c r="S9" s="104" t="n">
        <x:v>0</x:v>
      </x:c>
      <x:c r="T9" s="104" t="n">
        <x:v>1</x:v>
      </x:c>
      <x:c r="U9" s="98" t="str">
        <x:v>cluster_deletion</x:v>
      </x:c>
      <x:c r="V9" s="103" t="n">
        <x:v>1.295</x:v>
      </x:c>
      <x:c r="W9" s="102" t="n">
        <x:v>2.5</x:v>
      </x:c>
      <x:c r="X9" s="104" t="n">
        <x:v>0.81</x:v>
      </x:c>
      <x:c r="Y9" s="104" t="n">
        <x:v>0.73</x:v>
      </x:c>
      <x:c r="Z9" s="102" t="n">
        <x:v>2</x:v>
      </x:c>
      <x:c r="AA9" s="98" t="str">
        <x:v>high_support</x:v>
      </x:c>
      <x:c r="AB9" s="104" t="n">
        <x:v>0.93</x:v>
      </x:c>
      <x:c r="AC9" s="102" t="n">
        <x:v>1</x:v>
      </x:c>
      <x:c r="AD9" s="105" t="n">
        <x:v>46244.35972222222</x:v>
      </x:c>
      <x:c r="AE9" s="105" t="n">
        <x:v>46244.36111111111</x:v>
      </x:c>
      <x:c r="AF9" s="101" t="str">
        <x:v>P-DUMMY-03</x:v>
      </x:c>
      <x:c r="AG9" s="102" t="n">
        <x:v>1</x:v>
      </x:c>
    </x:row>
    <x:row r="10">
      <x:c r="A10" s="101" t="str">
        <x:v>SES-DUMMY-006</x:v>
      </x:c>
      <x:c r="B10" s="98" t="str">
        <x:v>4</x:v>
      </x:c>
      <x:c r="C10" s="98" t="str">
        <x:v>improvement</x:v>
      </x:c>
      <x:c r="D10" s="101" t="str">
        <x:v>activity_improve_g4</x:v>
      </x:c>
      <x:c r="E10" s="98" t="str">
        <x:v>completed</x:v>
      </x:c>
      <x:c r="F10" s="102" t="n">
        <x:v>2</x:v>
      </x:c>
      <x:c r="G10" s="102" t="n">
        <x:v>2</x:v>
      </x:c>
      <x:c r="H10" s="102" t="n">
        <x:v>0</x:v>
      </x:c>
      <x:c r="I10" s="104" t="n">
        <x:v>0</x:v>
      </x:c>
      <x:c r="J10" s="104" t="n">
        <x:v>0</x:v>
      </x:c>
      <x:c r="K10" s="104"/>
      <x:c r="L10" s="104"/>
      <x:c r="M10" s="104" t="n">
        <x:v>0.375</x:v>
      </x:c>
      <x:c r="N10" s="104" t="n">
        <x:v>1</x:v>
      </x:c>
      <x:c r="O10" s="104" t="n">
        <x:v>0.625</x:v>
      </x:c>
      <x:c r="P10" s="104" t="n">
        <x:v>0.33</x:v>
      </x:c>
      <x:c r="Q10" s="104" t="n">
        <x:v>0.5</x:v>
      </x:c>
      <x:c r="R10" s="104" t="n">
        <x:v>0</x:v>
      </x:c>
      <x:c r="S10" s="104" t="n">
        <x:v>0.5</x:v>
      </x:c>
      <x:c r="T10" s="104" t="n">
        <x:v>0</x:v>
      </x:c>
      <x:c r="U10" s="98" t="str">
        <x:v>initial_substitution</x:v>
      </x:c>
      <x:c r="V10" s="103" t="n">
        <x:v>0.915</x:v>
      </x:c>
      <x:c r="W10" s="102" t="n">
        <x:v>2</x:v>
      </x:c>
      <x:c r="X10" s="104" t="n">
        <x:v>0.84</x:v>
      </x:c>
      <x:c r="Y10" s="104" t="n">
        <x:v>0.72</x:v>
      </x:c>
      <x:c r="Z10" s="102" t="n">
        <x:v>2</x:v>
      </x:c>
      <x:c r="AA10" s="98" t="str">
        <x:v>high_support</x:v>
      </x:c>
      <x:c r="AB10" s="104" t="n">
        <x:v>0.91</x:v>
      </x:c>
      <x:c r="AC10" s="102" t="n">
        <x:v>1</x:v>
      </x:c>
      <x:c r="AD10" s="105" t="n">
        <x:v>46244.36666666667</x:v>
      </x:c>
      <x:c r="AE10" s="105" t="n">
        <x:v>46244.368055555555</x:v>
      </x:c>
      <x:c r="AF10" s="101" t="str">
        <x:v>P-DUMMY-03</x:v>
      </x:c>
      <x:c r="AG10" s="102" t="n">
        <x:v>1</x:v>
      </x:c>
    </x:row>
    <x:row r="11">
      <x:c r="A11" s="101" t="str">
        <x:v>SES-DUMMY-007</x:v>
      </x:c>
      <x:c r="B11" s="98" t="str">
        <x:v>5</x:v>
      </x:c>
      <x:c r="C11" s="98" t="str">
        <x:v>identification</x:v>
      </x:c>
      <x:c r="D11" s="101" t="str">
        <x:v>activity_identify_g5</x:v>
      </x:c>
      <x:c r="E11" s="98" t="str">
        <x:v>completed</x:v>
      </x:c>
      <x:c r="F11" s="102" t="n">
        <x:v>2</x:v>
      </x:c>
      <x:c r="G11" s="102" t="n">
        <x:v>2</x:v>
      </x:c>
      <x:c r="H11" s="102" t="n">
        <x:v>0</x:v>
      </x:c>
      <x:c r="I11" s="104" t="n">
        <x:v>0</x:v>
      </x:c>
      <x:c r="J11" s="104" t="n">
        <x:v>1</x:v>
      </x:c>
      <x:c r="K11" s="104" t="n">
        <x:v>0</x:v>
      </x:c>
      <x:c r="L11" s="104"/>
      <x:c r="M11" s="104" t="n">
        <x:v>0.125</x:v>
      </x:c>
      <x:c r="N11" s="104" t="n">
        <x:v>0.5</x:v>
      </x:c>
      <x:c r="O11" s="104" t="n">
        <x:v>0.875</x:v>
      </x:c>
      <x:c r="P11" s="104" t="n">
        <x:v>0.125</x:v>
      </x:c>
      <x:c r="Q11" s="104" t="n">
        <x:v>0</x:v>
      </x:c>
      <x:c r="R11" s="104" t="n">
        <x:v>0</x:v>
      </x:c>
      <x:c r="S11" s="104" t="n">
        <x:v>0</x:v>
      </x:c>
      <x:c r="T11" s="104" t="n">
        <x:v>0.5</x:v>
      </x:c>
      <x:c r="U11" s="98" t="str">
        <x:v>cluster_deletion</x:v>
      </x:c>
      <x:c r="V11" s="103" t="n">
        <x:v>1.03</x:v>
      </x:c>
      <x:c r="W11" s="102" t="n">
        <x:v>1.5</x:v>
      </x:c>
      <x:c r="X11" s="104" t="n">
        <x:v>0.895</x:v>
      </x:c>
      <x:c r="Y11" s="104" t="n">
        <x:v>0.86</x:v>
      </x:c>
      <x:c r="Z11" s="102" t="n">
        <x:v>2</x:v>
      </x:c>
      <x:c r="AA11" s="98" t="str">
        <x:v>low_support</x:v>
      </x:c>
      <x:c r="AB11" s="104" t="n">
        <x:v>0.9</x:v>
      </x:c>
      <x:c r="AC11" s="102" t="n">
        <x:v>1</x:v>
      </x:c>
      <x:c r="AD11" s="105" t="n">
        <x:v>46244.373611111114</x:v>
      </x:c>
      <x:c r="AE11" s="105" t="n">
        <x:v>46244.375</x:v>
      </x:c>
      <x:c r="AF11" s="101" t="str">
        <x:v>P-DUMMY-04</x:v>
      </x:c>
      <x:c r="AG11" s="102" t="n">
        <x:v>1</x:v>
      </x:c>
    </x:row>
    <x:row r="12">
      <x:c r="A12" s="101" t="str">
        <x:v>SES-DUMMY-008</x:v>
      </x:c>
      <x:c r="B12" s="98" t="str">
        <x:v>5</x:v>
      </x:c>
      <x:c r="C12" s="98" t="str">
        <x:v>improvement</x:v>
      </x:c>
      <x:c r="D12" s="101" t="str">
        <x:v>activity_improve_g5</x:v>
      </x:c>
      <x:c r="E12" s="98" t="str">
        <x:v>completed</x:v>
      </x:c>
      <x:c r="F12" s="102" t="n">
        <x:v>2</x:v>
      </x:c>
      <x:c r="G12" s="102" t="n">
        <x:v>1</x:v>
      </x:c>
      <x:c r="H12" s="102" t="n">
        <x:v>1</x:v>
      </x:c>
      <x:c r="I12" s="104" t="n">
        <x:v>0.5</x:v>
      </x:c>
      <x:c r="J12" s="104"/>
      <x:c r="K12" s="104"/>
      <x:c r="L12" s="104" t="n">
        <x:v>0</x:v>
      </x:c>
      <x:c r="M12" s="104" t="n">
        <x:v>0.0313</x:v>
      </x:c>
      <x:c r="N12" s="104" t="n">
        <x:v>0.5</x:v>
      </x:c>
      <x:c r="O12" s="104" t="n">
        <x:v>0.93</x:v>
      </x:c>
      <x:c r="P12" s="104" t="n">
        <x:v>0.1</x:v>
      </x:c>
      <x:c r="Q12" s="104" t="n">
        <x:v>0</x:v>
      </x:c>
      <x:c r="R12" s="104" t="n">
        <x:v>1</x:v>
      </x:c>
      <x:c r="S12" s="104" t="n">
        <x:v>0</x:v>
      </x:c>
      <x:c r="T12" s="104" t="n">
        <x:v>0</x:v>
      </x:c>
      <x:c r="U12" s="98" t="str">
        <x:v>final_deletion</x:v>
      </x:c>
      <x:c r="V12" s="103" t="n">
        <x:v>1.45</x:v>
      </x:c>
      <x:c r="W12" s="102" t="n">
        <x:v>3</x:v>
      </x:c>
      <x:c r="X12" s="104" t="n">
        <x:v>0.81</x:v>
      </x:c>
      <x:c r="Y12" s="104" t="n">
        <x:v>0.75</x:v>
      </x:c>
      <x:c r="Z12" s="102" t="n">
        <x:v>2</x:v>
      </x:c>
      <x:c r="AA12" s="98" t="str">
        <x:v>medium_support</x:v>
      </x:c>
      <x:c r="AB12" s="104" t="n">
        <x:v>0.88</x:v>
      </x:c>
      <x:c r="AC12" s="102" t="n">
        <x:v>1</x:v>
      </x:c>
      <x:c r="AD12" s="105" t="n">
        <x:v>46244.38055555556</x:v>
      </x:c>
      <x:c r="AE12" s="105" t="n">
        <x:v>46244.381944444445</x:v>
      </x:c>
      <x:c r="AF12" s="101" t="str">
        <x:v>P-DUMMY-05</x:v>
      </x:c>
      <x:c r="AG12" s="102" t="n">
        <x:v>1</x:v>
      </x:c>
    </x:row>
    <x:row r="13">
      <x:c r="A13" s="101" t="str">
        <x:v>SES-DUMMY-009</x:v>
      </x:c>
      <x:c r="B13" s="98" t="str">
        <x:v>2</x:v>
      </x:c>
      <x:c r="C13" s="98" t="str">
        <x:v>identification</x:v>
      </x:c>
      <x:c r="D13" s="101" t="str">
        <x:v>activity_identify_g2</x:v>
      </x:c>
      <x:c r="E13" s="98" t="str">
        <x:v>completed</x:v>
      </x:c>
      <x:c r="F13" s="102" t="n">
        <x:v>2</x:v>
      </x:c>
      <x:c r="G13" s="102" t="n">
        <x:v>2</x:v>
      </x:c>
      <x:c r="H13" s="102" t="n">
        <x:v>0</x:v>
      </x:c>
      <x:c r="I13" s="104" t="n">
        <x:v>0</x:v>
      </x:c>
      <x:c r="J13" s="104" t="n">
        <x:v>0</x:v>
      </x:c>
      <x:c r="K13" s="104"/>
      <x:c r="L13" s="104"/>
      <x:c r="M13" s="104" t="n">
        <x:v>0.6666</x:v>
      </x:c>
      <x:c r="N13" s="104" t="n">
        <x:v>1</x:v>
      </x:c>
      <x:c r="O13" s="104" t="n">
        <x:v>0.335</x:v>
      </x:c>
      <x:c r="P13" s="104" t="n">
        <x:v>0.665</x:v>
      </x:c>
      <x:c r="Q13" s="104" t="n">
        <x:v>0</x:v>
      </x:c>
      <x:c r="R13" s="104" t="n">
        <x:v>0</x:v>
      </x:c>
      <x:c r="S13" s="104" t="n">
        <x:v>0.5</x:v>
      </x:c>
      <x:c r="T13" s="104" t="n">
        <x:v>0</x:v>
      </x:c>
      <x:c r="U13" s="98" t="str">
        <x:v>deletion</x:v>
      </x:c>
      <x:c r="V13" s="103" t="n">
        <x:v>0.815</x:v>
      </x:c>
      <x:c r="W13" s="102" t="n">
        <x:v>2.5</x:v>
      </x:c>
      <x:c r="X13" s="104" t="n">
        <x:v>0.79</x:v>
      </x:c>
      <x:c r="Y13" s="104" t="n">
        <x:v>0.625</x:v>
      </x:c>
      <x:c r="Z13" s="102" t="n">
        <x:v>2</x:v>
      </x:c>
      <x:c r="AA13" s="98" t="str">
        <x:v>high_support</x:v>
      </x:c>
      <x:c r="AB13" s="104" t="n">
        <x:v>0.94</x:v>
      </x:c>
      <x:c r="AC13" s="102" t="n">
        <x:v>1</x:v>
      </x:c>
      <x:c r="AD13" s="105" t="n">
        <x:v>46244.3875</x:v>
      </x:c>
      <x:c r="AE13" s="105" t="n">
        <x:v>46244.38888888889</x:v>
      </x:c>
      <x:c r="AF13" s="101" t="str">
        <x:v>P-DUMMY-06</x:v>
      </x:c>
      <x:c r="AG13" s="102" t="n">
        <x:v>1</x:v>
      </x:c>
    </x:row>
    <x:row r="14">
      <x:c r="A14" s="101" t="str">
        <x:v>SES-DUMMY-010</x:v>
      </x:c>
      <x:c r="B14" s="98" t="str">
        <x:v>3</x:v>
      </x:c>
      <x:c r="C14" s="98" t="str">
        <x:v>improvement</x:v>
      </x:c>
      <x:c r="D14" s="101" t="str">
        <x:v>activity_improve_g3</x:v>
      </x:c>
      <x:c r="E14" s="98" t="str">
        <x:v>completed</x:v>
      </x:c>
      <x:c r="F14" s="102" t="n">
        <x:v>2</x:v>
      </x:c>
      <x:c r="G14" s="102" t="n">
        <x:v>2</x:v>
      </x:c>
      <x:c r="H14" s="102" t="n">
        <x:v>0</x:v>
      </x:c>
      <x:c r="I14" s="104" t="n">
        <x:v>0</x:v>
      </x:c>
      <x:c r="J14" s="104" t="n">
        <x:v>1</x:v>
      </x:c>
      <x:c r="K14" s="104"/>
      <x:c r="L14" s="104" t="n">
        <x:v>1</x:v>
      </x:c>
      <x:c r="M14" s="104" t="n">
        <x:v>0</x:v>
      </x:c>
      <x:c r="N14" s="104" t="n">
        <x:v>0</x:v>
      </x:c>
      <x:c r="O14" s="104" t="n">
        <x:v>1</x:v>
      </x:c>
      <x:c r="P14" s="104" t="n">
        <x:v>0</x:v>
      </x:c>
      <x:c r="Q14" s="104" t="n">
        <x:v>0</x:v>
      </x:c>
      <x:c r="R14" s="104" t="n">
        <x:v>0</x:v>
      </x:c>
      <x:c r="S14" s="104" t="n">
        <x:v>0</x:v>
      </x:c>
      <x:c r="T14" s="104" t="n">
        <x:v>0</x:v>
      </x:c>
      <x:c r="U14" s="98"/>
      <x:c r="V14" s="103" t="n">
        <x:v>1.075</x:v>
      </x:c>
      <x:c r="W14" s="102" t="n">
        <x:v>0.5</x:v>
      </x:c>
      <x:c r="X14" s="104" t="n">
        <x:v>0.945</x:v>
      </x:c>
      <x:c r="Y14" s="104" t="n">
        <x:v>0.945</x:v>
      </x:c>
      <x:c r="Z14" s="102" t="n">
        <x:v>2</x:v>
      </x:c>
      <x:c r="AA14" s="98" t="str">
        <x:v>low_support</x:v>
      </x:c>
      <x:c r="AB14" s="104" t="n">
        <x:v>0.96</x:v>
      </x:c>
      <x:c r="AC14" s="102" t="n">
        <x:v>1</x:v>
      </x:c>
      <x:c r="AD14" s="105" t="n">
        <x:v>46244.39444444444</x:v>
      </x:c>
      <x:c r="AE14" s="105" t="n">
        <x:v>46244.395833333336</x:v>
      </x:c>
      <x:c r="AF14" s="101" t="str">
        <x:v>P-DUMMY-07</x:v>
      </x:c>
      <x:c r="AG14" s="102" t="n">
        <x:v>1</x:v>
      </x:c>
    </x:row>
    <x:row r="15">
      <x:c r="A15" s="101" t="str">
        <x:v>SES-DUMMY-011</x:v>
      </x:c>
      <x:c r="B15" s="98" t="str">
        <x:v>4</x:v>
      </x:c>
      <x:c r="C15" s="98" t="str">
        <x:v>identification</x:v>
      </x:c>
      <x:c r="D15" s="101" t="str">
        <x:v>activity_identify_g4</x:v>
      </x:c>
      <x:c r="E15" s="98" t="str">
        <x:v>completed</x:v>
      </x:c>
      <x:c r="F15" s="102" t="n">
        <x:v>2</x:v>
      </x:c>
      <x:c r="G15" s="102" t="n">
        <x:v>2</x:v>
      </x:c>
      <x:c r="H15" s="102" t="n">
        <x:v>0</x:v>
      </x:c>
      <x:c r="I15" s="104" t="n">
        <x:v>0.5</x:v>
      </x:c>
      <x:c r="J15" s="104" t="n">
        <x:v>1</x:v>
      </x:c>
      <x:c r="K15" s="104" t="n">
        <x:v>0</x:v>
      </x:c>
      <x:c r="L15" s="104"/>
      <x:c r="M15" s="104" t="n">
        <x:v>0.125</x:v>
      </x:c>
      <x:c r="N15" s="104" t="n">
        <x:v>0.5</x:v>
      </x:c>
      <x:c r="O15" s="104" t="n">
        <x:v>0.875</x:v>
      </x:c>
      <x:c r="P15" s="104" t="n">
        <x:v>0.125</x:v>
      </x:c>
      <x:c r="Q15" s="104" t="n">
        <x:v>0</x:v>
      </x:c>
      <x:c r="R15" s="104" t="n">
        <x:v>0</x:v>
      </x:c>
      <x:c r="S15" s="104" t="n">
        <x:v>0</x:v>
      </x:c>
      <x:c r="T15" s="104" t="n">
        <x:v>0.5</x:v>
      </x:c>
      <x:c r="U15" s="98" t="str">
        <x:v>cluster_deletion</x:v>
      </x:c>
      <x:c r="V15" s="103" t="n">
        <x:v>1</x:v>
      </x:c>
      <x:c r="W15" s="102" t="n">
        <x:v>2.5</x:v>
      </x:c>
      <x:c r="X15" s="104" t="n">
        <x:v>0.82</x:v>
      </x:c>
      <x:c r="Y15" s="104" t="n">
        <x:v>0.805</x:v>
      </x:c>
      <x:c r="Z15" s="102" t="n">
        <x:v>2</x:v>
      </x:c>
      <x:c r="AA15" s="98" t="str">
        <x:v>medium_support</x:v>
      </x:c>
      <x:c r="AB15" s="104" t="n">
        <x:v>0.87</x:v>
      </x:c>
      <x:c r="AC15" s="102" t="n">
        <x:v>1</x:v>
      </x:c>
      <x:c r="AD15" s="105" t="n">
        <x:v>46244.40138888889</x:v>
      </x:c>
      <x:c r="AE15" s="105" t="n">
        <x:v>46244.40277777778</x:v>
      </x:c>
      <x:c r="AF15" s="101" t="str">
        <x:v>P-DUMMY-08</x:v>
      </x:c>
      <x:c r="AG15" s="102" t="n">
        <x:v>1</x:v>
      </x:c>
    </x:row>
    <x:row r="16">
      <x:c r="A16" s="101" t="str">
        <x:v>SES-DUMMY-012</x:v>
      </x:c>
      <x:c r="B16" s="98" t="str">
        <x:v>4</x:v>
      </x:c>
      <x:c r="C16" s="98" t="str">
        <x:v>improvement</x:v>
      </x:c>
      <x:c r="D16" s="101" t="str">
        <x:v>activity_improve_g4</x:v>
      </x:c>
      <x:c r="E16" s="98" t="str">
        <x:v>completed</x:v>
      </x:c>
      <x:c r="F16" s="102" t="n">
        <x:v>2</x:v>
      </x:c>
      <x:c r="G16" s="102" t="n">
        <x:v>2</x:v>
      </x:c>
      <x:c r="H16" s="102" t="n">
        <x:v>0</x:v>
      </x:c>
      <x:c r="I16" s="104" t="n">
        <x:v>0</x:v>
      </x:c>
      <x:c r="J16" s="104" t="n">
        <x:v>0</x:v>
      </x:c>
      <x:c r="K16" s="104"/>
      <x:c r="L16" s="104" t="n">
        <x:v>0</x:v>
      </x:c>
      <x:c r="M16" s="104" t="n">
        <x:v>0.1278</x:v>
      </x:c>
      <x:c r="N16" s="104" t="n">
        <x:v>1</x:v>
      </x:c>
      <x:c r="O16" s="104" t="n">
        <x:v>0.87</x:v>
      </x:c>
      <x:c r="P16" s="104" t="n">
        <x:v>0.17</x:v>
      </x:c>
      <x:c r="Q16" s="104" t="n">
        <x:v>0</x:v>
      </x:c>
      <x:c r="R16" s="104" t="n">
        <x:v>0</x:v>
      </x:c>
      <x:c r="S16" s="104" t="n">
        <x:v>0</x:v>
      </x:c>
      <x:c r="T16" s="104" t="n">
        <x:v>1</x:v>
      </x:c>
      <x:c r="U16" s="98" t="str">
        <x:v>cluster_deletion</x:v>
      </x:c>
      <x:c r="V16" s="103" t="n">
        <x:v>1.37</x:v>
      </x:c>
      <x:c r="W16" s="102" t="n">
        <x:v>3.5</x:v>
      </x:c>
      <x:c r="X16" s="104" t="n">
        <x:v>0.76</x:v>
      </x:c>
      <x:c r="Y16" s="104" t="n">
        <x:v>0.685</x:v>
      </x:c>
      <x:c r="Z16" s="102" t="n">
        <x:v>2</x:v>
      </x:c>
      <x:c r="AA16" s="98" t="str">
        <x:v>high_support</x:v>
      </x:c>
      <x:c r="AB16" s="104" t="n">
        <x:v>0.92</x:v>
      </x:c>
      <x:c r="AC16" s="102" t="n">
        <x:v>1</x:v>
      </x:c>
      <x:c r="AD16" s="105" t="n">
        <x:v>46244.40833333333</x:v>
      </x:c>
      <x:c r="AE16" s="105" t="n">
        <x:v>46244.40972222222</x:v>
      </x:c>
      <x:c r="AF16" s="101" t="str">
        <x:v>P-DUMMY-08</x:v>
      </x:c>
      <x:c r="AG16" s="102" t="n">
        <x:v>1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74a1cc72b1c345bb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  <x:selection pane="topRight" activeCell="C1" sqref="C1"/>
      <x:selection pane="bottomLeft" activeCell="A5" sqref="A5"/>
      <x:selection pane="bottomRight" activeCell="C5" sqref="C5"/>
    </x:sheetView>
  </x:sheetViews>
  <x:sheetFormatPr defaultRowHeight="15"/>
  <x:cols>
    <x:col min="1" max="1" width="22" hidden="0" customWidth="1"/>
    <x:col min="2" max="2" width="28" hidden="0" customWidth="1"/>
    <x:col min="3" max="3" width="58" hidden="0" customWidth="1"/>
    <x:col min="4" max="4" width="14" hidden="0" customWidth="1"/>
    <x:col min="5" max="5" width="12" hidden="0" customWidth="1"/>
    <x:col min="6" max="6" width="34" hidden="0" customWidth="1"/>
    <x:col min="7" max="7" width="24" hidden="0" customWidth="1"/>
    <x:col min="8" max="8" width="38" hidden="0" customWidth="1"/>
    <x:col min="9" max="9" width="38" hidden="0" customWidth="1"/>
  </x:cols>
  <x:sheetData>
    <x:row r="1" ht="30" customHeight="1">
      <x:c r="A1" s="3" t="str">
        <x:v>Feature Dictionary</x:v>
      </x:c>
      <x:c r="B1" s="3"/>
      <x:c r="C1" s="3"/>
      <x:c r="D1" s="3"/>
      <x:c r="E1" s="3"/>
      <x:c r="F1" s="3"/>
      <x:c r="G1" s="3"/>
      <x:c r="H1" s="3"/>
      <x:c r="I1" s="3"/>
    </x:row>
    <x:row r="2" ht="32" customHeight="1">
      <x:c r="A2" s="7" t="str">
        <x:v>Machine-readable field contract for collection, review, export, and training preparation.</x:v>
      </x:c>
      <x:c r="B2" s="7"/>
      <x:c r="C2" s="7"/>
      <x:c r="D2" s="7"/>
      <x:c r="E2" s="7"/>
      <x:c r="F2" s="7"/>
      <x:c r="G2" s="7"/>
      <x:c r="H2" s="7"/>
      <x:c r="I2" s="7"/>
    </x:row>
    <x:row r="4" ht="42" customHeight="1">
      <x:c r="A4" s="55" t="str">
        <x:v>sheet</x:v>
      </x:c>
      <x:c r="B4" s="55" t="str">
        <x:v>field_name</x:v>
      </x:c>
      <x:c r="C4" s="55" t="str">
        <x:v>definition</x:v>
      </x:c>
      <x:c r="D4" s="55" t="str">
        <x:v>data_type</x:v>
      </x:c>
      <x:c r="E4" s="55" t="str">
        <x:v>required</x:v>
      </x:c>
      <x:c r="F4" s="55" t="str">
        <x:v>allowed_values_or_range</x:v>
      </x:c>
      <x:c r="G4" s="55" t="str">
        <x:v>role</x:v>
      </x:c>
      <x:c r="H4" s="55" t="str">
        <x:v>source_or_derivation</x:v>
      </x:c>
      <x:c r="I4" s="55" t="str">
        <x:v>training_use</x:v>
      </x:c>
    </x:row>
    <x:row r="5">
      <x:c r="A5" s="107" t="str">
        <x:v>Participants</x:v>
      </x:c>
      <x:c r="B5" s="107" t="str">
        <x:v>participant_code</x:v>
      </x:c>
      <x:c r="C5" s="107" t="str">
        <x:v>Anonymous participant grouping code. Never enter a child name or contact detail.</x:v>
      </x:c>
      <x:c r="D5" s="107" t="str">
        <x:v>text</x:v>
      </x:c>
      <x:c r="E5" s="107" t="str">
        <x:v>yes</x:v>
      </x:c>
      <x:c r="F5" s="107" t="str">
        <x:v>See README and collection protocol</x:v>
      </x:c>
      <x:c r="G5" s="107" t="str">
        <x:v>Identifier</x:v>
      </x:c>
      <x:c r="H5" s="107" t="str">
        <x:v>Research collection workflow</x:v>
      </x:c>
      <x:c r="I5" s="107" t="str">
        <x:v>Collection, linkage, review, or provenance</x:v>
      </x:c>
    </x:row>
    <x:row r="6">
      <x:c r="A6" s="107" t="str">
        <x:v>Participants</x:v>
      </x:c>
      <x:c r="B6" s="107" t="str">
        <x:v>grade</x:v>
      </x:c>
      <x:c r="C6" s="107" t="str">
        <x:v>Grade value used by the collection or export workflow.</x:v>
      </x:c>
      <x:c r="D6" s="107" t="str">
        <x:v>text</x:v>
      </x:c>
      <x:c r="E6" s="107" t="str">
        <x:v>yes</x:v>
      </x:c>
      <x:c r="F6" s="107" t="str">
        <x:v>2, 3, 4, or 5</x:v>
      </x:c>
      <x:c r="G6" s="107" t="str">
        <x:v>Required input</x:v>
      </x:c>
      <x:c r="H6" s="107" t="str">
        <x:v>Research collection workflow</x:v>
      </x:c>
      <x:c r="I6" s="107" t="str">
        <x:v>Collection, linkage, review, or provenance</x:v>
      </x:c>
    </x:row>
    <x:row r="7">
      <x:c r="A7" s="107" t="str">
        <x:v>Participants</x:v>
      </x:c>
      <x:c r="B7" s="107" t="str">
        <x:v>age_years</x:v>
      </x:c>
      <x:c r="C7" s="107" t="str">
        <x:v>Age Years value used by the collection or export workflow.</x:v>
      </x:c>
      <x:c r="D7" s="107" t="str">
        <x:v>number</x:v>
      </x:c>
      <x:c r="E7" s="107" t="str">
        <x:v>yes</x:v>
      </x:c>
      <x:c r="F7" s="107" t="str">
        <x:v>Whole number 6-12</x:v>
      </x:c>
      <x:c r="G7" s="107" t="str">
        <x:v>Required input</x:v>
      </x:c>
      <x:c r="H7" s="107" t="str">
        <x:v>Research collection workflow</x:v>
      </x:c>
      <x:c r="I7" s="107" t="str">
        <x:v>Collection, linkage, review, or provenance</x:v>
      </x:c>
    </x:row>
    <x:row r="8">
      <x:c r="A8" s="107" t="str">
        <x:v>Participants</x:v>
      </x:c>
      <x:c r="B8" s="107" t="str">
        <x:v>consent_confirmed</x:v>
      </x:c>
      <x:c r="C8" s="107" t="str">
        <x:v>Confirms approved consent exists before collection.</x:v>
      </x:c>
      <x:c r="D8" s="107" t="str">
        <x:v>text</x:v>
      </x:c>
      <x:c r="E8" s="107" t="str">
        <x:v>yes</x:v>
      </x:c>
      <x:c r="F8" s="107" t="str">
        <x:v>yes or no</x:v>
      </x:c>
      <x:c r="G8" s="107" t="str">
        <x:v>Required input</x:v>
      </x:c>
      <x:c r="H8" s="107" t="str">
        <x:v>Research collection workflow</x:v>
      </x:c>
      <x:c r="I8" s="107" t="str">
        <x:v>Collection, linkage, review, or provenance</x:v>
      </x:c>
    </x:row>
    <x:row r="9">
      <x:c r="A9" s="107" t="str">
        <x:v>Participants</x:v>
      </x:c>
      <x:c r="B9" s="107" t="str">
        <x:v>consent_date</x:v>
      </x:c>
      <x:c r="C9" s="107" t="str">
        <x:v>Consent Date value used by the collection or export workflow.</x:v>
      </x:c>
      <x:c r="D9" s="107" t="str">
        <x:v>datetime</x:v>
      </x:c>
      <x:c r="E9" s="107" t="str">
        <x:v>no</x:v>
      </x:c>
      <x:c r="F9" s="107" t="str">
        <x:v>See README and collection protocol</x:v>
      </x:c>
      <x:c r="G9" s="107" t="str">
        <x:v>Optional input / metadata</x:v>
      </x:c>
      <x:c r="H9" s="107" t="str">
        <x:v>Research collection workflow</x:v>
      </x:c>
      <x:c r="I9" s="107" t="str">
        <x:v>Collection, linkage, review, or provenance</x:v>
      </x:c>
    </x:row>
    <x:row r="10">
      <x:c r="A10" s="107" t="str">
        <x:v>Participants</x:v>
      </x:c>
      <x:c r="B10" s="107" t="str">
        <x:v>review_state</x:v>
      </x:c>
      <x:c r="C10" s="107" t="str">
        <x:v>Review State value used by the collection or export workflow.</x:v>
      </x:c>
      <x:c r="D10" s="107" t="str">
        <x:v>text</x:v>
      </x:c>
      <x:c r="E10" s="107" t="str">
        <x:v>yes</x:v>
      </x:c>
      <x:c r="F10" s="107" t="str">
        <x:v>pending, reviewed, adjudicated, or excluded</x:v>
      </x:c>
      <x:c r="G10" s="107" t="str">
        <x:v>Label / review</x:v>
      </x:c>
      <x:c r="H10" s="107" t="str">
        <x:v>Research collection workflow</x:v>
      </x:c>
      <x:c r="I10" s="107" t="str">
        <x:v>Collection, linkage, review, or provenance</x:v>
      </x:c>
    </x:row>
    <x:row r="11">
      <x:c r="A11" s="107" t="str">
        <x:v>Participants</x:v>
      </x:c>
      <x:c r="B11" s="107" t="str">
        <x:v>collection_notes</x:v>
      </x:c>
      <x:c r="C11" s="107" t="str">
        <x:v>Collection Notes value used by the collection or export workflow.</x:v>
      </x:c>
      <x:c r="D11" s="107" t="str">
        <x:v>text</x:v>
      </x:c>
      <x:c r="E11" s="107" t="str">
        <x:v>no</x:v>
      </x:c>
      <x:c r="F11" s="107" t="str">
        <x:v>See README and collection protocol</x:v>
      </x:c>
      <x:c r="G11" s="107" t="str">
        <x:v>Optional input / metadata</x:v>
      </x:c>
      <x:c r="H11" s="107" t="str">
        <x:v>Research collection workflow</x:v>
      </x:c>
      <x:c r="I11" s="107" t="str">
        <x:v>Collection, linkage, review, or provenance</x:v>
      </x:c>
    </x:row>
    <x:row r="12">
      <x:c r="A12" s="107" t="str">
        <x:v>Participants</x:v>
      </x:c>
      <x:c r="B12" s="107" t="str">
        <x:v>is_active</x:v>
      </x:c>
      <x:c r="C12" s="107" t="str">
        <x:v>Is Active value used by the collection or export workflow.</x:v>
      </x:c>
      <x:c r="D12" s="107" t="str">
        <x:v>number</x:v>
      </x:c>
      <x:c r="E12" s="107" t="str">
        <x:v>no</x:v>
      </x:c>
      <x:c r="F12" s="107" t="str">
        <x:v>0 or 1</x:v>
      </x:c>
      <x:c r="G12" s="107" t="str">
        <x:v>Optional input / metadata</x:v>
      </x:c>
      <x:c r="H12" s="107" t="str">
        <x:v>Research collection workflow</x:v>
      </x:c>
      <x:c r="I12" s="107" t="str">
        <x:v>Collection, linkage, review, or provenance</x:v>
      </x:c>
    </x:row>
    <x:row r="13">
      <x:c r="A13" s="107" t="str">
        <x:v>Sessions</x:v>
      </x:c>
      <x:c r="B13" s="107" t="str">
        <x:v>session_id</x:v>
      </x:c>
      <x:c r="C13" s="107" t="str">
        <x:v>Unique identifier for one assessment or practice session.</x:v>
      </x:c>
      <x:c r="D13" s="107" t="str">
        <x:v>text</x:v>
      </x:c>
      <x:c r="E13" s="107" t="str">
        <x:v>yes</x:v>
      </x:c>
      <x:c r="F13" s="107" t="str">
        <x:v>See README and collection protocol</x:v>
      </x:c>
      <x:c r="G13" s="107" t="str">
        <x:v>Identifier</x:v>
      </x:c>
      <x:c r="H13" s="107" t="str">
        <x:v>Research collection workflow</x:v>
      </x:c>
      <x:c r="I13" s="107" t="str">
        <x:v>Collection, linkage, review, or provenance</x:v>
      </x:c>
    </x:row>
    <x:row r="14">
      <x:c r="A14" s="107" t="str">
        <x:v>Sessions</x:v>
      </x:c>
      <x:c r="B14" s="107" t="str">
        <x:v>participant_code</x:v>
      </x:c>
      <x:c r="C14" s="107" t="str">
        <x:v>Anonymous participant grouping code. Never enter a child name or contact detail.</x:v>
      </x:c>
      <x:c r="D14" s="107" t="str">
        <x:v>text</x:v>
      </x:c>
      <x:c r="E14" s="107" t="str">
        <x:v>yes</x:v>
      </x:c>
      <x:c r="F14" s="107" t="str">
        <x:v>See README and collection protocol</x:v>
      </x:c>
      <x:c r="G14" s="107" t="str">
        <x:v>Identifier</x:v>
      </x:c>
      <x:c r="H14" s="107" t="str">
        <x:v>Research collection workflow</x:v>
      </x:c>
      <x:c r="I14" s="107" t="str">
        <x:v>Collection, linkage, review, or provenance</x:v>
      </x:c>
    </x:row>
    <x:row r="15">
      <x:c r="A15" s="107" t="str">
        <x:v>Sessions</x:v>
      </x:c>
      <x:c r="B15" s="107" t="str">
        <x:v>grade</x:v>
      </x:c>
      <x:c r="C15" s="107" t="str">
        <x:v>Grade value used by the collection or export workflow.</x:v>
      </x:c>
      <x:c r="D15" s="107" t="str">
        <x:v>text</x:v>
      </x:c>
      <x:c r="E15" s="107" t="str">
        <x:v>yes</x:v>
      </x:c>
      <x:c r="F15" s="107" t="str">
        <x:v>2, 3, 4, or 5</x:v>
      </x:c>
      <x:c r="G15" s="107" t="str">
        <x:v>Required input</x:v>
      </x:c>
      <x:c r="H15" s="107" t="str">
        <x:v>Research collection workflow</x:v>
      </x:c>
      <x:c r="I15" s="107" t="str">
        <x:v>Collection, linkage, review, or provenance</x:v>
      </x:c>
    </x:row>
    <x:row r="16">
      <x:c r="A16" s="107" t="str">
        <x:v>Sessions</x:v>
      </x:c>
      <x:c r="B16" s="107" t="str">
        <x:v>session_date</x:v>
      </x:c>
      <x:c r="C16" s="107" t="str">
        <x:v>Session Date value used by the collection or export workflow.</x:v>
      </x:c>
      <x:c r="D16" s="107" t="str">
        <x:v>datetime</x:v>
      </x:c>
      <x:c r="E16" s="107" t="str">
        <x:v>yes</x:v>
      </x:c>
      <x:c r="F16" s="107" t="str">
        <x:v>See README and collection protocol</x:v>
      </x:c>
      <x:c r="G16" s="107" t="str">
        <x:v>Required input</x:v>
      </x:c>
      <x:c r="H16" s="107" t="str">
        <x:v>Research collection workflow</x:v>
      </x:c>
      <x:c r="I16" s="107" t="str">
        <x:v>Collection, linkage, review, or provenance</x:v>
      </x:c>
    </x:row>
    <x:row r="17">
      <x:c r="A17" s="107" t="str">
        <x:v>Sessions</x:v>
      </x:c>
      <x:c r="B17" s="107" t="str">
        <x:v>mode</x:v>
      </x:c>
      <x:c r="C17" s="107" t="str">
        <x:v>Mode value used by the collection or export workflow.</x:v>
      </x:c>
      <x:c r="D17" s="107" t="str">
        <x:v>text</x:v>
      </x:c>
      <x:c r="E17" s="107" t="str">
        <x:v>yes</x:v>
      </x:c>
      <x:c r="F17" s="107" t="str">
        <x:v>identification or improvement</x:v>
      </x:c>
      <x:c r="G17" s="107" t="str">
        <x:v>Required input</x:v>
      </x:c>
      <x:c r="H17" s="107" t="str">
        <x:v>Research collection workflow</x:v>
      </x:c>
      <x:c r="I17" s="107" t="str">
        <x:v>Collection, linkage, review, or provenance</x:v>
      </x:c>
    </x:row>
    <x:row r="18">
      <x:c r="A18" s="107" t="str">
        <x:v>Sessions</x:v>
      </x:c>
      <x:c r="B18" s="107" t="str">
        <x:v>activity_id</x:v>
      </x:c>
      <x:c r="C18" s="107" t="str">
        <x:v>Activity Id value used by the collection or export workflow.</x:v>
      </x:c>
      <x:c r="D18" s="107" t="str">
        <x:v>text</x:v>
      </x:c>
      <x:c r="E18" s="107" t="str">
        <x:v>no</x:v>
      </x:c>
      <x:c r="F18" s="107" t="str">
        <x:v>See README and collection protocol</x:v>
      </x:c>
      <x:c r="G18" s="107" t="str">
        <x:v>Identifier</x:v>
      </x:c>
      <x:c r="H18" s="107" t="str">
        <x:v>Research collection workflow</x:v>
      </x:c>
      <x:c r="I18" s="107" t="str">
        <x:v>Collection, linkage, review, or provenance</x:v>
      </x:c>
    </x:row>
    <x:row r="19">
      <x:c r="A19" s="107" t="str">
        <x:v>Sessions</x:v>
      </x:c>
      <x:c r="B19" s="107" t="str">
        <x:v>status</x:v>
      </x:c>
      <x:c r="C19" s="107" t="str">
        <x:v>Status value used by the collection or export workflow.</x:v>
      </x:c>
      <x:c r="D19" s="107" t="str">
        <x:v>text</x:v>
      </x:c>
      <x:c r="E19" s="107" t="str">
        <x:v>yes</x:v>
      </x:c>
      <x:c r="F19" s="107" t="str">
        <x:v>See README and collection protocol</x:v>
      </x:c>
      <x:c r="G19" s="107" t="str">
        <x:v>Required input</x:v>
      </x:c>
      <x:c r="H19" s="107" t="str">
        <x:v>Research collection workflow</x:v>
      </x:c>
      <x:c r="I19" s="107" t="str">
        <x:v>Collection, linkage, review, or provenance</x:v>
      </x:c>
    </x:row>
    <x:row r="20">
      <x:c r="A20" s="107" t="str">
        <x:v>Sessions</x:v>
      </x:c>
      <x:c r="B20" s="107" t="str">
        <x:v>review_state</x:v>
      </x:c>
      <x:c r="C20" s="107" t="str">
        <x:v>Review State value used by the collection or export workflow.</x:v>
      </x:c>
      <x:c r="D20" s="107" t="str">
        <x:v>text</x:v>
      </x:c>
      <x:c r="E20" s="107" t="str">
        <x:v>yes</x:v>
      </x:c>
      <x:c r="F20" s="107" t="str">
        <x:v>pending, reviewed, adjudicated, or excluded</x:v>
      </x:c>
      <x:c r="G20" s="107" t="str">
        <x:v>Label / review</x:v>
      </x:c>
      <x:c r="H20" s="107" t="str">
        <x:v>Research collection workflow</x:v>
      </x:c>
      <x:c r="I20" s="107" t="str">
        <x:v>Collection, linkage, review, or provenance</x:v>
      </x:c>
    </x:row>
    <x:row r="21">
      <x:c r="A21" s="107" t="str">
        <x:v>Sessions</x:v>
      </x:c>
      <x:c r="B21" s="107" t="str">
        <x:v>total_attempts</x:v>
      </x:c>
      <x:c r="C21" s="107" t="str">
        <x:v>Total Attempts value used by the collection or export workflow.</x:v>
      </x:c>
      <x:c r="D21" s="107" t="str">
        <x:v>number</x:v>
      </x:c>
      <x:c r="E21" s="107" t="str">
        <x:v>no</x:v>
      </x:c>
      <x:c r="F21" s="107" t="str">
        <x:v>Whole number &gt;= 0</x:v>
      </x:c>
      <x:c r="G21" s="107" t="str">
        <x:v>Calculated / measured</x:v>
      </x:c>
      <x:c r="H21" s="107" t="str">
        <x:v>Research collection workflow</x:v>
      </x:c>
      <x:c r="I21" s="107" t="str">
        <x:v>Collection, linkage, review, or provenance</x:v>
      </x:c>
    </x:row>
    <x:row r="22">
      <x:c r="A22" s="107" t="str">
        <x:v>Sessions</x:v>
      </x:c>
      <x:c r="B22" s="107" t="str">
        <x:v>valid_attempts</x:v>
      </x:c>
      <x:c r="C22" s="107" t="str">
        <x:v>Valid Attempts value used by the collection or export workflow.</x:v>
      </x:c>
      <x:c r="D22" s="107" t="str">
        <x:v>number</x:v>
      </x:c>
      <x:c r="E22" s="107" t="str">
        <x:v>no</x:v>
      </x:c>
      <x:c r="F22" s="107" t="str">
        <x:v>Whole number &gt;= 0</x:v>
      </x:c>
      <x:c r="G22" s="107" t="str">
        <x:v>Calculated / measured</x:v>
      </x:c>
      <x:c r="H22" s="107" t="str">
        <x:v>Research collection workflow</x:v>
      </x:c>
      <x:c r="I22" s="107" t="str">
        <x:v>Collection, linkage, review, or provenance</x:v>
      </x:c>
    </x:row>
    <x:row r="23">
      <x:c r="A23" s="107" t="str">
        <x:v>Sessions</x:v>
      </x:c>
      <x:c r="B23" s="107" t="str">
        <x:v>invalid_attempts</x:v>
      </x:c>
      <x:c r="C23" s="107" t="str">
        <x:v>Invalid Attempts value used by the collection or export workflow.</x:v>
      </x:c>
      <x:c r="D23" s="107" t="str">
        <x:v>number</x:v>
      </x:c>
      <x:c r="E23" s="107" t="str">
        <x:v>no</x:v>
      </x:c>
      <x:c r="F23" s="107" t="str">
        <x:v>Whole number &gt;= 0</x:v>
      </x:c>
      <x:c r="G23" s="107" t="str">
        <x:v>Calculated / measured</x:v>
      </x:c>
      <x:c r="H23" s="107" t="str">
        <x:v>Research collection workflow</x:v>
      </x:c>
      <x:c r="I23" s="107" t="str">
        <x:v>Collection, linkage, review, or provenance</x:v>
      </x:c>
    </x:row>
    <x:row r="24">
      <x:c r="A24" s="107" t="str">
        <x:v>Sessions</x:v>
      </x:c>
      <x:c r="B24" s="107" t="str">
        <x:v>consent_verified</x:v>
      </x:c>
      <x:c r="C24" s="107" t="str">
        <x:v>Confirms consent was checked for the linked session.</x:v>
      </x:c>
      <x:c r="D24" s="107" t="str">
        <x:v>text</x:v>
      </x:c>
      <x:c r="E24" s="107" t="str">
        <x:v>no</x:v>
      </x:c>
      <x:c r="F24" s="107" t="str">
        <x:v>yes or no</x:v>
      </x:c>
      <x:c r="G24" s="107" t="str">
        <x:v>Optional input / metadata</x:v>
      </x:c>
      <x:c r="H24" s="107" t="str">
        <x:v>Research collection workflow</x:v>
      </x:c>
      <x:c r="I24" s="107" t="str">
        <x:v>Collection, linkage, review, or provenance</x:v>
      </x:c>
    </x:row>
    <x:row r="25">
      <x:c r="A25" s="107" t="str">
        <x:v>Sessions</x:v>
      </x:c>
      <x:c r="B25" s="107" t="str">
        <x:v>session_notes</x:v>
      </x:c>
      <x:c r="C25" s="107" t="str">
        <x:v>Session Notes value used by the collection or export workflow.</x:v>
      </x:c>
      <x:c r="D25" s="107" t="str">
        <x:v>text</x:v>
      </x:c>
      <x:c r="E25" s="107" t="str">
        <x:v>no</x:v>
      </x:c>
      <x:c r="F25" s="107" t="str">
        <x:v>See README and collection protocol</x:v>
      </x:c>
      <x:c r="G25" s="107" t="str">
        <x:v>Optional input / metadata</x:v>
      </x:c>
      <x:c r="H25" s="107" t="str">
        <x:v>Research collection workflow</x:v>
      </x:c>
      <x:c r="I25" s="107" t="str">
        <x:v>Collection, linkage, review, or provenance</x:v>
      </x:c>
    </x:row>
    <x:row r="26">
      <x:c r="A26" s="107" t="str">
        <x:v>Attempts</x:v>
      </x:c>
      <x:c r="B26" s="107" t="str">
        <x:v>attempt_id</x:v>
      </x:c>
      <x:c r="C26" s="107" t="str">
        <x:v>Unique identifier for one speech attempt within a session.</x:v>
      </x:c>
      <x:c r="D26" s="107" t="str">
        <x:v>text</x:v>
      </x:c>
      <x:c r="E26" s="107" t="str">
        <x:v>yes</x:v>
      </x:c>
      <x:c r="F26" s="107" t="str">
        <x:v>See README and collection protocol</x:v>
      </x:c>
      <x:c r="G26" s="107" t="str">
        <x:v>Identifier</x:v>
      </x:c>
      <x:c r="H26" s="107" t="str">
        <x:v>Research collection workflow</x:v>
      </x:c>
      <x:c r="I26" s="107" t="str">
        <x:v>Collection, linkage, review, or provenance</x:v>
      </x:c>
    </x:row>
    <x:row r="27">
      <x:c r="A27" s="107" t="str">
        <x:v>Attempts</x:v>
      </x:c>
      <x:c r="B27" s="107" t="str">
        <x:v>session_id</x:v>
      </x:c>
      <x:c r="C27" s="107" t="str">
        <x:v>Unique identifier for one assessment or practice session.</x:v>
      </x:c>
      <x:c r="D27" s="107" t="str">
        <x:v>text</x:v>
      </x:c>
      <x:c r="E27" s="107" t="str">
        <x:v>yes</x:v>
      </x:c>
      <x:c r="F27" s="107" t="str">
        <x:v>See README and collection protocol</x:v>
      </x:c>
      <x:c r="G27" s="107" t="str">
        <x:v>Identifier</x:v>
      </x:c>
      <x:c r="H27" s="107" t="str">
        <x:v>Research collection workflow</x:v>
      </x:c>
      <x:c r="I27" s="107" t="str">
        <x:v>Collection, linkage, review, or provenance</x:v>
      </x:c>
    </x:row>
    <x:row r="28">
      <x:c r="A28" s="107" t="str">
        <x:v>Attempts</x:v>
      </x:c>
      <x:c r="B28" s="107" t="str">
        <x:v>grade</x:v>
      </x:c>
      <x:c r="C28" s="107" t="str">
        <x:v>Grade value used by the collection or export workflow.</x:v>
      </x:c>
      <x:c r="D28" s="107" t="str">
        <x:v>text</x:v>
      </x:c>
      <x:c r="E28" s="107" t="str">
        <x:v>yes</x:v>
      </x:c>
      <x:c r="F28" s="107" t="str">
        <x:v>2, 3, 4, or 5</x:v>
      </x:c>
      <x:c r="G28" s="107" t="str">
        <x:v>Required input</x:v>
      </x:c>
      <x:c r="H28" s="107" t="str">
        <x:v>Research collection workflow</x:v>
      </x:c>
      <x:c r="I28" s="107" t="str">
        <x:v>Collection, linkage, review, or provenance</x:v>
      </x:c>
    </x:row>
    <x:row r="29">
      <x:c r="A29" s="107" t="str">
        <x:v>Attempts</x:v>
      </x:c>
      <x:c r="B29" s="107" t="str">
        <x:v>mode</x:v>
      </x:c>
      <x:c r="C29" s="107" t="str">
        <x:v>Mode value used by the collection or export workflow.</x:v>
      </x:c>
      <x:c r="D29" s="107" t="str">
        <x:v>text</x:v>
      </x:c>
      <x:c r="E29" s="107" t="str">
        <x:v>yes</x:v>
      </x:c>
      <x:c r="F29" s="107" t="str">
        <x:v>identification or improvement</x:v>
      </x:c>
      <x:c r="G29" s="107" t="str">
        <x:v>Required input</x:v>
      </x:c>
      <x:c r="H29" s="107" t="str">
        <x:v>Research collection workflow</x:v>
      </x:c>
      <x:c r="I29" s="107" t="str">
        <x:v>Collection, linkage, review, or provenance</x:v>
      </x:c>
    </x:row>
    <x:row r="30">
      <x:c r="A30" s="107" t="str">
        <x:v>Attempts</x:v>
      </x:c>
      <x:c r="B30" s="107" t="str">
        <x:v>activity_id</x:v>
      </x:c>
      <x:c r="C30" s="107" t="str">
        <x:v>Activity Id value used by the collection or export workflow.</x:v>
      </x:c>
      <x:c r="D30" s="107" t="str">
        <x:v>text</x:v>
      </x:c>
      <x:c r="E30" s="107" t="str">
        <x:v>no</x:v>
      </x:c>
      <x:c r="F30" s="107" t="str">
        <x:v>See README and collection protocol</x:v>
      </x:c>
      <x:c r="G30" s="107" t="str">
        <x:v>Identifier</x:v>
      </x:c>
      <x:c r="H30" s="107" t="str">
        <x:v>Research collection workflow</x:v>
      </x:c>
      <x:c r="I30" s="107" t="str">
        <x:v>Collection, linkage, review, or provenance</x:v>
      </x:c>
    </x:row>
    <x:row r="31">
      <x:c r="A31" s="107" t="str">
        <x:v>Attempts</x:v>
      </x:c>
      <x:c r="B31" s="107" t="str">
        <x:v>game_type</x:v>
      </x:c>
      <x:c r="C31" s="107" t="str">
        <x:v>Game Type value used by the collection or export workflow.</x:v>
      </x:c>
      <x:c r="D31" s="107" t="str">
        <x:v>text</x:v>
      </x:c>
      <x:c r="E31" s="107" t="str">
        <x:v>no</x:v>
      </x:c>
      <x:c r="F31" s="107" t="str">
        <x:v>See README and collection protocol</x:v>
      </x:c>
      <x:c r="G31" s="107" t="str">
        <x:v>Optional input / metadata</x:v>
      </x:c>
      <x:c r="H31" s="107" t="str">
        <x:v>Research collection workflow</x:v>
      </x:c>
      <x:c r="I31" s="107" t="str">
        <x:v>Collection, linkage, review, or provenance</x:v>
      </x:c>
    </x:row>
    <x:row r="32">
      <x:c r="A32" s="107" t="str">
        <x:v>Attempts</x:v>
      </x:c>
      <x:c r="B32" s="107" t="str">
        <x:v>task_type</x:v>
      </x:c>
      <x:c r="C32" s="107" t="str">
        <x:v>Task Type value used by the collection or export workflow.</x:v>
      </x:c>
      <x:c r="D32" s="107" t="str">
        <x:v>text</x:v>
      </x:c>
      <x:c r="E32" s="107" t="str">
        <x:v>no</x:v>
      </x:c>
      <x:c r="F32" s="107" t="str">
        <x:v>See README and collection protocol</x:v>
      </x:c>
      <x:c r="G32" s="107" t="str">
        <x:v>Optional input / metadata</x:v>
      </x:c>
      <x:c r="H32" s="107" t="str">
        <x:v>Research collection workflow</x:v>
      </x:c>
      <x:c r="I32" s="107" t="str">
        <x:v>Collection, linkage, review, or provenance</x:v>
      </x:c>
    </x:row>
    <x:row r="33">
      <x:c r="A33" s="107" t="str">
        <x:v>Attempts</x:v>
      </x:c>
      <x:c r="B33" s="107" t="str">
        <x:v>task_family</x:v>
      </x:c>
      <x:c r="C33" s="107" t="str">
        <x:v>Task Family value used by the collection or export workflow.</x:v>
      </x:c>
      <x:c r="D33" s="107" t="str">
        <x:v>text</x:v>
      </x:c>
      <x:c r="E33" s="107" t="str">
        <x:v>yes</x:v>
      </x:c>
      <x:c r="F33" s="107" t="str">
        <x:v>word, pseudoword, sentence, or minimal_pair</x:v>
      </x:c>
      <x:c r="G33" s="107" t="str">
        <x:v>Required input</x:v>
      </x:c>
      <x:c r="H33" s="107" t="str">
        <x:v>Research collection workflow</x:v>
      </x:c>
      <x:c r="I33" s="107" t="str">
        <x:v>Collection, linkage, review, or provenance</x:v>
      </x:c>
    </x:row>
    <x:row r="34">
      <x:c r="A34" s="107" t="str">
        <x:v>Attempts</x:v>
      </x:c>
      <x:c r="B34" s="107" t="str">
        <x:v>prompt_id</x:v>
      </x:c>
      <x:c r="C34" s="107" t="str">
        <x:v>Prompt Id value used by the collection or export workflow.</x:v>
      </x:c>
      <x:c r="D34" s="107" t="str">
        <x:v>text</x:v>
      </x:c>
      <x:c r="E34" s="107" t="str">
        <x:v>no</x:v>
      </x:c>
      <x:c r="F34" s="107" t="str">
        <x:v>See README and collection protocol</x:v>
      </x:c>
      <x:c r="G34" s="107" t="str">
        <x:v>Identifier</x:v>
      </x:c>
      <x:c r="H34" s="107" t="str">
        <x:v>Research collection workflow</x:v>
      </x:c>
      <x:c r="I34" s="107" t="str">
        <x:v>Collection, linkage, review, or provenance</x:v>
      </x:c>
    </x:row>
    <x:row r="35">
      <x:c r="A35" s="107" t="str">
        <x:v>Attempts</x:v>
      </x:c>
      <x:c r="B35" s="107" t="str">
        <x:v>target_text</x:v>
      </x:c>
      <x:c r="C35" s="107" t="str">
        <x:v>Target Text value used by the collection or export workflow.</x:v>
      </x:c>
      <x:c r="D35" s="107" t="str">
        <x:v>text</x:v>
      </x:c>
      <x:c r="E35" s="107" t="str">
        <x:v>yes</x:v>
      </x:c>
      <x:c r="F35" s="107" t="str">
        <x:v>See README and collection protocol</x:v>
      </x:c>
      <x:c r="G35" s="107" t="str">
        <x:v>Required input</x:v>
      </x:c>
      <x:c r="H35" s="107" t="str">
        <x:v>Research collection workflow</x:v>
      </x:c>
      <x:c r="I35" s="107" t="str">
        <x:v>Collection, linkage, review, or provenance</x:v>
      </x:c>
    </x:row>
    <x:row r="36">
      <x:c r="A36" s="107" t="str">
        <x:v>Attempts</x:v>
      </x:c>
      <x:c r="B36" s="107" t="str">
        <x:v>attempt_no</x:v>
      </x:c>
      <x:c r="C36" s="107" t="str">
        <x:v>Attempt No value used by the collection or export workflow.</x:v>
      </x:c>
      <x:c r="D36" s="107" t="str">
        <x:v>number</x:v>
      </x:c>
      <x:c r="E36" s="107" t="str">
        <x:v>no</x:v>
      </x:c>
      <x:c r="F36" s="107" t="str">
        <x:v>Whole number &gt;= 0</x:v>
      </x:c>
      <x:c r="G36" s="107" t="str">
        <x:v>Calculated / measured</x:v>
      </x:c>
      <x:c r="H36" s="107" t="str">
        <x:v>Research collection workflow</x:v>
      </x:c>
      <x:c r="I36" s="107" t="str">
        <x:v>Collection, linkage, review, or provenance</x:v>
      </x:c>
    </x:row>
    <x:row r="37">
      <x:c r="A37" s="107" t="str">
        <x:v>Attempts</x:v>
      </x:c>
      <x:c r="B37" s="107" t="str">
        <x:v>valid_audio</x:v>
      </x:c>
      <x:c r="C37" s="107" t="str">
        <x:v>Valid Audio value used by the collection or export workflow.</x:v>
      </x:c>
      <x:c r="D37" s="107" t="str">
        <x:v>number</x:v>
      </x:c>
      <x:c r="E37" s="107" t="str">
        <x:v>no</x:v>
      </x:c>
      <x:c r="F37" s="107" t="str">
        <x:v>0 or 1</x:v>
      </x:c>
      <x:c r="G37" s="107" t="str">
        <x:v>Optional input / metadata</x:v>
      </x:c>
      <x:c r="H37" s="107" t="str">
        <x:v>Research collection workflow</x:v>
      </x:c>
      <x:c r="I37" s="107" t="str">
        <x:v>Collection, linkage, review, or provenance</x:v>
      </x:c>
    </x:row>
    <x:row r="38">
      <x:c r="A38" s="107" t="str">
        <x:v>Attempts</x:v>
      </x:c>
      <x:c r="B38" s="107" t="str">
        <x:v>invalid_reason</x:v>
      </x:c>
      <x:c r="C38" s="107" t="str">
        <x:v>Invalid Reason value used by the collection or export workflow.</x:v>
      </x:c>
      <x:c r="D38" s="107" t="str">
        <x:v>text</x:v>
      </x:c>
      <x:c r="E38" s="107" t="str">
        <x:v>no</x:v>
      </x:c>
      <x:c r="F38" s="107" t="str">
        <x:v>See README and collection protocol</x:v>
      </x:c>
      <x:c r="G38" s="107" t="str">
        <x:v>Optional input / metadata</x:v>
      </x:c>
      <x:c r="H38" s="107" t="str">
        <x:v>Research collection workflow</x:v>
      </x:c>
      <x:c r="I38" s="107" t="str">
        <x:v>Collection, linkage, review, or provenance</x:v>
      </x:c>
    </x:row>
    <x:row r="39">
      <x:c r="A39" s="107" t="str">
        <x:v>Attempts</x:v>
      </x:c>
      <x:c r="B39" s="107" t="str">
        <x:v>server_audio_duration_ms</x:v>
      </x:c>
      <x:c r="C39" s="107" t="str">
        <x:v>Server Audio Duration Ms value used by the collection or export workflow.</x:v>
      </x:c>
      <x:c r="D39" s="107" t="str">
        <x:v>number</x:v>
      </x:c>
      <x:c r="E39" s="107" t="str">
        <x:v>no</x:v>
      </x:c>
      <x:c r="F39" s="107" t="str">
        <x:v>Number &gt;= 0</x:v>
      </x:c>
      <x:c r="G39" s="107" t="str">
        <x:v>Calculated / measured</x:v>
      </x:c>
      <x:c r="H39" s="107" t="str">
        <x:v>Research collection workflow</x:v>
      </x:c>
      <x:c r="I39" s="107" t="str">
        <x:v>Collection, linkage, review, or provenance</x:v>
      </x:c>
    </x:row>
    <x:row r="40">
      <x:c r="A40" s="107" t="str">
        <x:v>Attempts</x:v>
      </x:c>
      <x:c r="B40" s="107" t="str">
        <x:v>speech_duration_sec</x:v>
      </x:c>
      <x:c r="C40" s="107" t="str">
        <x:v>Speech Duration Sec value used by the collection or export workflow.</x:v>
      </x:c>
      <x:c r="D40" s="107" t="str">
        <x:v>number</x:v>
      </x:c>
      <x:c r="E40" s="107" t="str">
        <x:v>no</x:v>
      </x:c>
      <x:c r="F40" s="107" t="str">
        <x:v>Number &gt;= 0</x:v>
      </x:c>
      <x:c r="G40" s="107" t="str">
        <x:v>Calculated / measured</x:v>
      </x:c>
      <x:c r="H40" s="107" t="str">
        <x:v>Research collection workflow</x:v>
      </x:c>
      <x:c r="I40" s="107" t="str">
        <x:v>Collection, linkage, review, or provenance</x:v>
      </x:c>
    </x:row>
    <x:row r="41">
      <x:c r="A41" s="107" t="str">
        <x:v>Attempts</x:v>
      </x:c>
      <x:c r="B41" s="107" t="str">
        <x:v>silence_ratio</x:v>
      </x:c>
      <x:c r="C41" s="107" t="str">
        <x:v>Silence Ratio value used by the collection or export workflow.</x:v>
      </x:c>
      <x:c r="D41" s="107" t="str">
        <x:v>decimal</x:v>
      </x:c>
      <x:c r="E41" s="107" t="str">
        <x:v>no</x:v>
      </x:c>
      <x:c r="F41" s="107" t="str">
        <x:v>Decimal 0-1</x:v>
      </x:c>
      <x:c r="G41" s="107" t="str">
        <x:v>Calculated / measured</x:v>
      </x:c>
      <x:c r="H41" s="107" t="str">
        <x:v>Research collection workflow</x:v>
      </x:c>
      <x:c r="I41" s="107" t="str">
        <x:v>Collection, linkage, review, or provenance</x:v>
      </x:c>
    </x:row>
    <x:row r="42">
      <x:c r="A42" s="107" t="str">
        <x:v>Attempts</x:v>
      </x:c>
      <x:c r="B42" s="107" t="str">
        <x:v>pause_count</x:v>
      </x:c>
      <x:c r="C42" s="107" t="str">
        <x:v>Pause Count value used by the collection or export workflow.</x:v>
      </x:c>
      <x:c r="D42" s="107" t="str">
        <x:v>number</x:v>
      </x:c>
      <x:c r="E42" s="107" t="str">
        <x:v>no</x:v>
      </x:c>
      <x:c r="F42" s="107" t="str">
        <x:v>Whole number &gt;= 0</x:v>
      </x:c>
      <x:c r="G42" s="107" t="str">
        <x:v>Calculated / measured</x:v>
      </x:c>
      <x:c r="H42" s="107" t="str">
        <x:v>Research collection workflow</x:v>
      </x:c>
      <x:c r="I42" s="107" t="str">
        <x:v>Collection, linkage, review, or provenance</x:v>
      </x:c>
    </x:row>
    <x:row r="43">
      <x:c r="A43" s="107" t="str">
        <x:v>Attempts</x:v>
      </x:c>
      <x:c r="B43" s="107" t="str">
        <x:v>audio_quality_score</x:v>
      </x:c>
      <x:c r="C43" s="107" t="str">
        <x:v>Audio Quality Score value used by the collection or export workflow.</x:v>
      </x:c>
      <x:c r="D43" s="107" t="str">
        <x:v>decimal</x:v>
      </x:c>
      <x:c r="E43" s="107" t="str">
        <x:v>no</x:v>
      </x:c>
      <x:c r="F43" s="107" t="str">
        <x:v>Decimal 0-1</x:v>
      </x:c>
      <x:c r="G43" s="107" t="str">
        <x:v>Calculated / measured</x:v>
      </x:c>
      <x:c r="H43" s="107" t="str">
        <x:v>Research collection workflow</x:v>
      </x:c>
      <x:c r="I43" s="107" t="str">
        <x:v>Collection, linkage, review, or provenance</x:v>
      </x:c>
    </x:row>
    <x:row r="44">
      <x:c r="A44" s="107" t="str">
        <x:v>Attempts</x:v>
      </x:c>
      <x:c r="B44" s="107" t="str">
        <x:v>audio_quality_label</x:v>
      </x:c>
      <x:c r="C44" s="107" t="str">
        <x:v>Audio Quality Label value used by the collection or export workflow.</x:v>
      </x:c>
      <x:c r="D44" s="107" t="str">
        <x:v>text</x:v>
      </x:c>
      <x:c r="E44" s="107" t="str">
        <x:v>no</x:v>
      </x:c>
      <x:c r="F44" s="107" t="str">
        <x:v>excellent, good, fair, poor, or invalid</x:v>
      </x:c>
      <x:c r="G44" s="107" t="str">
        <x:v>Optional input / metadata</x:v>
      </x:c>
      <x:c r="H44" s="107" t="str">
        <x:v>Research collection workflow</x:v>
      </x:c>
      <x:c r="I44" s="107" t="str">
        <x:v>Collection, linkage, review, or provenance</x:v>
      </x:c>
    </x:row>
    <x:row r="45">
      <x:c r="A45" s="107" t="str">
        <x:v>Attempts</x:v>
      </x:c>
      <x:c r="B45" s="107" t="str">
        <x:v>word_reading_target_word</x:v>
      </x:c>
      <x:c r="C45" s="107" t="str">
        <x:v>Word Reading Target Word value used by the collection or export workflow.</x:v>
      </x:c>
      <x:c r="D45" s="107" t="str">
        <x:v>text</x:v>
      </x:c>
      <x:c r="E45" s="107" t="str">
        <x:v>no</x:v>
      </x:c>
      <x:c r="F45" s="107" t="str">
        <x:v>See README and collection protocol</x:v>
      </x:c>
      <x:c r="G45" s="107" t="str">
        <x:v>Optional input / metadata</x:v>
      </x:c>
      <x:c r="H45" s="107" t="str">
        <x:v>Research collection workflow</x:v>
      </x:c>
      <x:c r="I45" s="107" t="str">
        <x:v>Collection, linkage, review, or provenance</x:v>
      </x:c>
    </x:row>
    <x:row r="46">
      <x:c r="A46" s="107" t="str">
        <x:v>Attempts</x:v>
      </x:c>
      <x:c r="B46" s="107" t="str">
        <x:v>word_reading_asr_text</x:v>
      </x:c>
      <x:c r="C46" s="107" t="str">
        <x:v>Word Reading Asr Text value used by the collection or export workflow.</x:v>
      </x:c>
      <x:c r="D46" s="107" t="str">
        <x:v>text</x:v>
      </x:c>
      <x:c r="E46" s="107" t="str">
        <x:v>no</x:v>
      </x:c>
      <x:c r="F46" s="107" t="str">
        <x:v>See README and collection protocol</x:v>
      </x:c>
      <x:c r="G46" s="107" t="str">
        <x:v>Optional input / metadata</x:v>
      </x:c>
      <x:c r="H46" s="107" t="str">
        <x:v>Research collection workflow</x:v>
      </x:c>
      <x:c r="I46" s="107" t="str">
        <x:v>Collection, linkage, review, or provenance</x:v>
      </x:c>
    </x:row>
    <x:row r="47">
      <x:c r="A47" s="107" t="str">
        <x:v>Attempts</x:v>
      </x:c>
      <x:c r="B47" s="107" t="str">
        <x:v>word_reading_correct</x:v>
      </x:c>
      <x:c r="C47" s="107" t="str">
        <x:v>Word Reading Correct value used by the collection or export workflow.</x:v>
      </x:c>
      <x:c r="D47" s="107" t="str">
        <x:v>number</x:v>
      </x:c>
      <x:c r="E47" s="107" t="str">
        <x:v>no</x:v>
      </x:c>
      <x:c r="F47" s="107" t="str">
        <x:v>0 or 1</x:v>
      </x:c>
      <x:c r="G47" s="107" t="str">
        <x:v>Optional input / metadata</x:v>
      </x:c>
      <x:c r="H47" s="107" t="str">
        <x:v>Research collection workflow</x:v>
      </x:c>
      <x:c r="I47" s="107" t="str">
        <x:v>Collection, linkage, review, or provenance</x:v>
      </x:c>
    </x:row>
    <x:row r="48">
      <x:c r="A48" s="107" t="str">
        <x:v>Attempts</x:v>
      </x:c>
      <x:c r="B48" s="107" t="str">
        <x:v>word_reading_edit_distance</x:v>
      </x:c>
      <x:c r="C48" s="107" t="str">
        <x:v>Word Reading Edit Distance value used by the collection or export workflow.</x:v>
      </x:c>
      <x:c r="D48" s="107" t="str">
        <x:v>number</x:v>
      </x:c>
      <x:c r="E48" s="107" t="str">
        <x:v>no</x:v>
      </x:c>
      <x:c r="F48" s="107" t="str">
        <x:v>Whole number &gt;= 0</x:v>
      </x:c>
      <x:c r="G48" s="107" t="str">
        <x:v>Calculated / measured</x:v>
      </x:c>
      <x:c r="H48" s="107" t="str">
        <x:v>Research collection workflow</x:v>
      </x:c>
      <x:c r="I48" s="107" t="str">
        <x:v>Collection, linkage, review, or provenance</x:v>
      </x:c>
    </x:row>
    <x:row r="49">
      <x:c r="A49" s="107" t="str">
        <x:v>Attempts</x:v>
      </x:c>
      <x:c r="B49" s="107" t="str">
        <x:v>word_reading_similarity_score</x:v>
      </x:c>
      <x:c r="C49" s="107" t="str">
        <x:v>Word Reading Similarity Score value used by the collection or export workflow.</x:v>
      </x:c>
      <x:c r="D49" s="107" t="str">
        <x:v>decimal</x:v>
      </x:c>
      <x:c r="E49" s="107" t="str">
        <x:v>no</x:v>
      </x:c>
      <x:c r="F49" s="107" t="str">
        <x:v>Decimal 0-1</x:v>
      </x:c>
      <x:c r="G49" s="107" t="str">
        <x:v>Calculated / measured</x:v>
      </x:c>
      <x:c r="H49" s="107" t="str">
        <x:v>Research collection workflow</x:v>
      </x:c>
      <x:c r="I49" s="107" t="str">
        <x:v>Collection, linkage, review, or provenance</x:v>
      </x:c>
    </x:row>
    <x:row r="50">
      <x:c r="A50" s="107" t="str">
        <x:v>Attempts</x:v>
      </x:c>
      <x:c r="B50" s="107" t="str">
        <x:v>character_error_rate</x:v>
      </x:c>
      <x:c r="C50" s="107" t="str">
        <x:v>Character Error Rate value used by the collection or export workflow.</x:v>
      </x:c>
      <x:c r="D50" s="107" t="str">
        <x:v>decimal</x:v>
      </x:c>
      <x:c r="E50" s="107" t="str">
        <x:v>no</x:v>
      </x:c>
      <x:c r="F50" s="107" t="str">
        <x:v>Decimal 0-1</x:v>
      </x:c>
      <x:c r="G50" s="107" t="str">
        <x:v>Calculated / measured</x:v>
      </x:c>
      <x:c r="H50" s="107" t="str">
        <x:v>Research collection workflow</x:v>
      </x:c>
      <x:c r="I50" s="107" t="str">
        <x:v>Collection, linkage, review, or provenance</x:v>
      </x:c>
    </x:row>
    <x:row r="51">
      <x:c r="A51" s="107" t="str">
        <x:v>Attempts</x:v>
      </x:c>
      <x:c r="B51" s="107" t="str">
        <x:v>word_error_rate</x:v>
      </x:c>
      <x:c r="C51" s="107" t="str">
        <x:v>Word Error Rate value used by the collection or export workflow.</x:v>
      </x:c>
      <x:c r="D51" s="107" t="str">
        <x:v>decimal</x:v>
      </x:c>
      <x:c r="E51" s="107" t="str">
        <x:v>no</x:v>
      </x:c>
      <x:c r="F51" s="107" t="str">
        <x:v>Decimal 0-1</x:v>
      </x:c>
      <x:c r="G51" s="107" t="str">
        <x:v>Calculated / measured</x:v>
      </x:c>
      <x:c r="H51" s="107" t="str">
        <x:v>Research collection workflow</x:v>
      </x:c>
      <x:c r="I51" s="107" t="str">
        <x:v>Collection, linkage, review, or provenance</x:v>
      </x:c>
    </x:row>
    <x:row r="52">
      <x:c r="A52" s="107" t="str">
        <x:v>Attempts</x:v>
      </x:c>
      <x:c r="B52" s="107" t="str">
        <x:v>possible_error</x:v>
      </x:c>
      <x:c r="C52" s="107" t="str">
        <x:v>Possible Error value used by the collection or export workflow.</x:v>
      </x:c>
      <x:c r="D52" s="107" t="str">
        <x:v>text</x:v>
      </x:c>
      <x:c r="E52" s="107" t="str">
        <x:v>no</x:v>
      </x:c>
      <x:c r="F52" s="107" t="str">
        <x:v>See README and collection protocol</x:v>
      </x:c>
      <x:c r="G52" s="107" t="str">
        <x:v>Optional input / metadata</x:v>
      </x:c>
      <x:c r="H52" s="107" t="str">
        <x:v>Research collection workflow</x:v>
      </x:c>
      <x:c r="I52" s="107" t="str">
        <x:v>Collection, linkage, review, or provenance</x:v>
      </x:c>
    </x:row>
    <x:row r="53">
      <x:c r="A53" s="107" t="str">
        <x:v>Attempts</x:v>
      </x:c>
      <x:c r="B53" s="107" t="str">
        <x:v>phoneme_status</x:v>
      </x:c>
      <x:c r="C53" s="107" t="str">
        <x:v>Phoneme Status value used by the collection or export workflow.</x:v>
      </x:c>
      <x:c r="D53" s="107" t="str">
        <x:v>text</x:v>
      </x:c>
      <x:c r="E53" s="107" t="str">
        <x:v>no</x:v>
      </x:c>
      <x:c r="F53" s="107" t="str">
        <x:v>See README and collection protocol</x:v>
      </x:c>
      <x:c r="G53" s="107" t="str">
        <x:v>Optional input / metadata</x:v>
      </x:c>
      <x:c r="H53" s="107" t="str">
        <x:v>Research collection workflow</x:v>
      </x:c>
      <x:c r="I53" s="107" t="str">
        <x:v>Collection, linkage, review, or provenance</x:v>
      </x:c>
    </x:row>
    <x:row r="54">
      <x:c r="A54" s="107" t="str">
        <x:v>Attempts</x:v>
      </x:c>
      <x:c r="B54" s="107" t="str">
        <x:v>target_phonemes</x:v>
      </x:c>
      <x:c r="C54" s="107" t="str">
        <x:v>Target Phonemes value used by the collection or export workflow.</x:v>
      </x:c>
      <x:c r="D54" s="107" t="str">
        <x:v>text</x:v>
      </x:c>
      <x:c r="E54" s="107" t="str">
        <x:v>no</x:v>
      </x:c>
      <x:c r="F54" s="107" t="str">
        <x:v>See README and collection protocol</x:v>
      </x:c>
      <x:c r="G54" s="107" t="str">
        <x:v>Optional input / metadata</x:v>
      </x:c>
      <x:c r="H54" s="107" t="str">
        <x:v>Research collection workflow</x:v>
      </x:c>
      <x:c r="I54" s="107" t="str">
        <x:v>Collection, linkage, review, or provenance</x:v>
      </x:c>
    </x:row>
    <x:row r="55">
      <x:c r="A55" s="107" t="str">
        <x:v>Attempts</x:v>
      </x:c>
      <x:c r="B55" s="107" t="str">
        <x:v>asr_phonemes</x:v>
      </x:c>
      <x:c r="C55" s="107" t="str">
        <x:v>Asr Phonemes value used by the collection or export workflow.</x:v>
      </x:c>
      <x:c r="D55" s="107" t="str">
        <x:v>text</x:v>
      </x:c>
      <x:c r="E55" s="107" t="str">
        <x:v>no</x:v>
      </x:c>
      <x:c r="F55" s="107" t="str">
        <x:v>See README and collection protocol</x:v>
      </x:c>
      <x:c r="G55" s="107" t="str">
        <x:v>Optional input / metadata</x:v>
      </x:c>
      <x:c r="H55" s="107" t="str">
        <x:v>Research collection workflow</x:v>
      </x:c>
      <x:c r="I55" s="107" t="str">
        <x:v>Collection, linkage, review, or provenance</x:v>
      </x:c>
    </x:row>
    <x:row r="56">
      <x:c r="A56" s="107" t="str">
        <x:v>Attempts</x:v>
      </x:c>
      <x:c r="B56" s="107" t="str">
        <x:v>phoneme_edit_distance</x:v>
      </x:c>
      <x:c r="C56" s="107" t="str">
        <x:v>Phoneme Edit Distance value used by the collection or export workflow.</x:v>
      </x:c>
      <x:c r="D56" s="107" t="str">
        <x:v>number</x:v>
      </x:c>
      <x:c r="E56" s="107" t="str">
        <x:v>no</x:v>
      </x:c>
      <x:c r="F56" s="107" t="str">
        <x:v>Whole number &gt;= 0</x:v>
      </x:c>
      <x:c r="G56" s="107" t="str">
        <x:v>Calculated / measured</x:v>
      </x:c>
      <x:c r="H56" s="107" t="str">
        <x:v>Research collection workflow</x:v>
      </x:c>
      <x:c r="I56" s="107" t="str">
        <x:v>Collection, linkage, review, or provenance</x:v>
      </x:c>
    </x:row>
    <x:row r="57">
      <x:c r="A57" s="107" t="str">
        <x:v>Attempts</x:v>
      </x:c>
      <x:c r="B57" s="107" t="str">
        <x:v>phoneme_error_rate</x:v>
      </x:c>
      <x:c r="C57" s="107" t="str">
        <x:v>Phoneme Error Rate value used by the collection or export workflow.</x:v>
      </x:c>
      <x:c r="D57" s="107" t="str">
        <x:v>decimal</x:v>
      </x:c>
      <x:c r="E57" s="107" t="str">
        <x:v>no</x:v>
      </x:c>
      <x:c r="F57" s="107" t="str">
        <x:v>Decimal 0-1</x:v>
      </x:c>
      <x:c r="G57" s="107" t="str">
        <x:v>Calculated / measured</x:v>
      </x:c>
      <x:c r="H57" s="107" t="str">
        <x:v>Research collection workflow</x:v>
      </x:c>
      <x:c r="I57" s="107" t="str">
        <x:v>Collection, linkage, review, or provenance</x:v>
      </x:c>
    </x:row>
    <x:row r="58">
      <x:c r="A58" s="107" t="str">
        <x:v>Attempts</x:v>
      </x:c>
      <x:c r="B58" s="107" t="str">
        <x:v>phoneme_initial_sound_error</x:v>
      </x:c>
      <x:c r="C58" s="107" t="str">
        <x:v>Phoneme Initial Sound Error value used by the collection or export workflow.</x:v>
      </x:c>
      <x:c r="D58" s="107" t="str">
        <x:v>number</x:v>
      </x:c>
      <x:c r="E58" s="107" t="str">
        <x:v>no</x:v>
      </x:c>
      <x:c r="F58" s="107" t="str">
        <x:v>0 or 1</x:v>
      </x:c>
      <x:c r="G58" s="107" t="str">
        <x:v>Optional input / metadata</x:v>
      </x:c>
      <x:c r="H58" s="107" t="str">
        <x:v>Research collection workflow</x:v>
      </x:c>
      <x:c r="I58" s="107" t="str">
        <x:v>Collection, linkage, review, or provenance</x:v>
      </x:c>
    </x:row>
    <x:row r="59">
      <x:c r="A59" s="107" t="str">
        <x:v>Attempts</x:v>
      </x:c>
      <x:c r="B59" s="107" t="str">
        <x:v>phoneme_final_sound_error</x:v>
      </x:c>
      <x:c r="C59" s="107" t="str">
        <x:v>Phoneme Final Sound Error value used by the collection or export workflow.</x:v>
      </x:c>
      <x:c r="D59" s="107" t="str">
        <x:v>number</x:v>
      </x:c>
      <x:c r="E59" s="107" t="str">
        <x:v>no</x:v>
      </x:c>
      <x:c r="F59" s="107" t="str">
        <x:v>0 or 1</x:v>
      </x:c>
      <x:c r="G59" s="107" t="str">
        <x:v>Optional input / metadata</x:v>
      </x:c>
      <x:c r="H59" s="107" t="str">
        <x:v>Research collection workflow</x:v>
      </x:c>
      <x:c r="I59" s="107" t="str">
        <x:v>Collection, linkage, review, or provenance</x:v>
      </x:c>
    </x:row>
    <x:row r="60">
      <x:c r="A60" s="107" t="str">
        <x:v>Attempts</x:v>
      </x:c>
      <x:c r="B60" s="107" t="str">
        <x:v>phoneme_vowel_mismatch</x:v>
      </x:c>
      <x:c r="C60" s="107" t="str">
        <x:v>Phoneme Vowel Mismatch value used by the collection or export workflow.</x:v>
      </x:c>
      <x:c r="D60" s="107" t="str">
        <x:v>number</x:v>
      </x:c>
      <x:c r="E60" s="107" t="str">
        <x:v>no</x:v>
      </x:c>
      <x:c r="F60" s="107" t="str">
        <x:v>0 or 1</x:v>
      </x:c>
      <x:c r="G60" s="107" t="str">
        <x:v>Optional input / metadata</x:v>
      </x:c>
      <x:c r="H60" s="107" t="str">
        <x:v>Research collection workflow</x:v>
      </x:c>
      <x:c r="I60" s="107" t="str">
        <x:v>Collection, linkage, review, or provenance</x:v>
      </x:c>
    </x:row>
    <x:row r="61">
      <x:c r="A61" s="107" t="str">
        <x:v>Attempts</x:v>
      </x:c>
      <x:c r="B61" s="107" t="str">
        <x:v>phoneme_consonant_cluster_error</x:v>
      </x:c>
      <x:c r="C61" s="107" t="str">
        <x:v>Phoneme Consonant Cluster Error value used by the collection or export workflow.</x:v>
      </x:c>
      <x:c r="D61" s="107" t="str">
        <x:v>number</x:v>
      </x:c>
      <x:c r="E61" s="107" t="str">
        <x:v>no</x:v>
      </x:c>
      <x:c r="F61" s="107" t="str">
        <x:v>0 or 1</x:v>
      </x:c>
      <x:c r="G61" s="107" t="str">
        <x:v>Optional input / metadata</x:v>
      </x:c>
      <x:c r="H61" s="107" t="str">
        <x:v>Research collection workflow</x:v>
      </x:c>
      <x:c r="I61" s="107" t="str">
        <x:v>Collection, linkage, review, or provenance</x:v>
      </x:c>
    </x:row>
    <x:row r="62">
      <x:c r="A62" s="107" t="str">
        <x:v>Attempts</x:v>
      </x:c>
      <x:c r="B62" s="107" t="str">
        <x:v>phoneme_deletion_count</x:v>
      </x:c>
      <x:c r="C62" s="107" t="str">
        <x:v>Phoneme Deletion Count value used by the collection or export workflow.</x:v>
      </x:c>
      <x:c r="D62" s="107" t="str">
        <x:v>number</x:v>
      </x:c>
      <x:c r="E62" s="107" t="str">
        <x:v>no</x:v>
      </x:c>
      <x:c r="F62" s="107" t="str">
        <x:v>Whole number &gt;= 0</x:v>
      </x:c>
      <x:c r="G62" s="107" t="str">
        <x:v>Calculated / measured</x:v>
      </x:c>
      <x:c r="H62" s="107" t="str">
        <x:v>Research collection workflow</x:v>
      </x:c>
      <x:c r="I62" s="107" t="str">
        <x:v>Collection, linkage, review, or provenance</x:v>
      </x:c>
    </x:row>
    <x:row r="63">
      <x:c r="A63" s="107" t="str">
        <x:v>Attempts</x:v>
      </x:c>
      <x:c r="B63" s="107" t="str">
        <x:v>phoneme_insertion_count</x:v>
      </x:c>
      <x:c r="C63" s="107" t="str">
        <x:v>Phoneme Insertion Count value used by the collection or export workflow.</x:v>
      </x:c>
      <x:c r="D63" s="107" t="str">
        <x:v>number</x:v>
      </x:c>
      <x:c r="E63" s="107" t="str">
        <x:v>no</x:v>
      </x:c>
      <x:c r="F63" s="107" t="str">
        <x:v>Whole number &gt;= 0</x:v>
      </x:c>
      <x:c r="G63" s="107" t="str">
        <x:v>Calculated / measured</x:v>
      </x:c>
      <x:c r="H63" s="107" t="str">
        <x:v>Research collection workflow</x:v>
      </x:c>
      <x:c r="I63" s="107" t="str">
        <x:v>Collection, linkage, review, or provenance</x:v>
      </x:c>
    </x:row>
    <x:row r="64">
      <x:c r="A64" s="107" t="str">
        <x:v>Attempts</x:v>
      </x:c>
      <x:c r="B64" s="107" t="str">
        <x:v>phoneme_substitution_count</x:v>
      </x:c>
      <x:c r="C64" s="107" t="str">
        <x:v>Phoneme Substitution Count value used by the collection or export workflow.</x:v>
      </x:c>
      <x:c r="D64" s="107" t="str">
        <x:v>number</x:v>
      </x:c>
      <x:c r="E64" s="107" t="str">
        <x:v>no</x:v>
      </x:c>
      <x:c r="F64" s="107" t="str">
        <x:v>Whole number &gt;= 0</x:v>
      </x:c>
      <x:c r="G64" s="107" t="str">
        <x:v>Calculated / measured</x:v>
      </x:c>
      <x:c r="H64" s="107" t="str">
        <x:v>Research collection workflow</x:v>
      </x:c>
      <x:c r="I64" s="107" t="str">
        <x:v>Collection, linkage, review, or provenance</x:v>
      </x:c>
    </x:row>
    <x:row r="65">
      <x:c r="A65" s="107" t="str">
        <x:v>Attempts</x:v>
      </x:c>
      <x:c r="B65" s="107" t="str">
        <x:v>phoneme_error_pattern</x:v>
      </x:c>
      <x:c r="C65" s="107" t="str">
        <x:v>Phoneme Error Pattern value used by the collection or export workflow.</x:v>
      </x:c>
      <x:c r="D65" s="107" t="str">
        <x:v>text</x:v>
      </x:c>
      <x:c r="E65" s="107" t="str">
        <x:v>no</x:v>
      </x:c>
      <x:c r="F65" s="107" t="str">
        <x:v>See README and collection protocol</x:v>
      </x:c>
      <x:c r="G65" s="107" t="str">
        <x:v>Optional input / metadata</x:v>
      </x:c>
      <x:c r="H65" s="107" t="str">
        <x:v>Research collection workflow</x:v>
      </x:c>
      <x:c r="I65" s="107" t="str">
        <x:v>Collection, linkage, review, or provenance</x:v>
      </x:c>
    </x:row>
    <x:row r="66">
      <x:c r="A66" s="107" t="str">
        <x:v>Attempts</x:v>
      </x:c>
      <x:c r="B66" s="107" t="str">
        <x:v>phoneme_confidence</x:v>
      </x:c>
      <x:c r="C66" s="107" t="str">
        <x:v>Phoneme Confidence value used by the collection or export workflow.</x:v>
      </x:c>
      <x:c r="D66" s="107" t="str">
        <x:v>decimal</x:v>
      </x:c>
      <x:c r="E66" s="107" t="str">
        <x:v>no</x:v>
      </x:c>
      <x:c r="F66" s="107" t="str">
        <x:v>Decimal 0-1</x:v>
      </x:c>
      <x:c r="G66" s="107" t="str">
        <x:v>Calculated / measured</x:v>
      </x:c>
      <x:c r="H66" s="107" t="str">
        <x:v>Research collection workflow</x:v>
      </x:c>
      <x:c r="I66" s="107" t="str">
        <x:v>Collection, linkage, review, or provenance</x:v>
      </x:c>
    </x:row>
    <x:row r="67">
      <x:c r="A67" s="107" t="str">
        <x:v>Attempts</x:v>
      </x:c>
      <x:c r="B67" s="107" t="str">
        <x:v>phoneme_warnings</x:v>
      </x:c>
      <x:c r="C67" s="107" t="str">
        <x:v>Phoneme Warnings value used by the collection or export workflow.</x:v>
      </x:c>
      <x:c r="D67" s="107" t="str">
        <x:v>text</x:v>
      </x:c>
      <x:c r="E67" s="107" t="str">
        <x:v>no</x:v>
      </x:c>
      <x:c r="F67" s="107" t="str">
        <x:v>See README and collection protocol</x:v>
      </x:c>
      <x:c r="G67" s="107" t="str">
        <x:v>Optional input / metadata</x:v>
      </x:c>
      <x:c r="H67" s="107" t="str">
        <x:v>Research collection workflow</x:v>
      </x:c>
      <x:c r="I67" s="107" t="str">
        <x:v>Collection, linkage, review, or provenance</x:v>
      </x:c>
    </x:row>
    <x:row r="68">
      <x:c r="A68" s="107" t="str">
        <x:v>Attempts</x:v>
      </x:c>
      <x:c r="B68" s="107" t="str">
        <x:v>pronunciation_model_prediction</x:v>
      </x:c>
      <x:c r="C68" s="107" t="str">
        <x:v>Pronunciation Model Prediction value used by the collection or export workflow.</x:v>
      </x:c>
      <x:c r="D68" s="107" t="str">
        <x:v>text</x:v>
      </x:c>
      <x:c r="E68" s="107" t="str">
        <x:v>no</x:v>
      </x:c>
      <x:c r="F68" s="107" t="str">
        <x:v>See README and collection protocol</x:v>
      </x:c>
      <x:c r="G68" s="107" t="str">
        <x:v>Optional input / metadata</x:v>
      </x:c>
      <x:c r="H68" s="107" t="str">
        <x:v>Research collection workflow</x:v>
      </x:c>
      <x:c r="I68" s="107" t="str">
        <x:v>Collection, linkage, review, or provenance</x:v>
      </x:c>
    </x:row>
    <x:row r="69">
      <x:c r="A69" s="107" t="str">
        <x:v>Attempts</x:v>
      </x:c>
      <x:c r="B69" s="107" t="str">
        <x:v>pronunciation_model_score</x:v>
      </x:c>
      <x:c r="C69" s="107" t="str">
        <x:v>Pronunciation Model Score value used by the collection or export workflow.</x:v>
      </x:c>
      <x:c r="D69" s="107" t="str">
        <x:v>decimal</x:v>
      </x:c>
      <x:c r="E69" s="107" t="str">
        <x:v>no</x:v>
      </x:c>
      <x:c r="F69" s="107" t="str">
        <x:v>Decimal 0-1</x:v>
      </x:c>
      <x:c r="G69" s="107" t="str">
        <x:v>Calculated / measured</x:v>
      </x:c>
      <x:c r="H69" s="107" t="str">
        <x:v>Research collection workflow</x:v>
      </x:c>
      <x:c r="I69" s="107" t="str">
        <x:v>Collection, linkage, review, or provenance</x:v>
      </x:c>
    </x:row>
    <x:row r="70">
      <x:c r="A70" s="107" t="str">
        <x:v>Attempts</x:v>
      </x:c>
      <x:c r="B70" s="107" t="str">
        <x:v>stars_earned</x:v>
      </x:c>
      <x:c r="C70" s="107" t="str">
        <x:v>Stars Earned value used by the collection or export workflow.</x:v>
      </x:c>
      <x:c r="D70" s="107" t="str">
        <x:v>number</x:v>
      </x:c>
      <x:c r="E70" s="107" t="str">
        <x:v>no</x:v>
      </x:c>
      <x:c r="F70" s="107" t="str">
        <x:v>Whole number &gt;= 0</x:v>
      </x:c>
      <x:c r="G70" s="107" t="str">
        <x:v>Calculated / measured</x:v>
      </x:c>
      <x:c r="H70" s="107" t="str">
        <x:v>Research collection workflow</x:v>
      </x:c>
      <x:c r="I70" s="107" t="str">
        <x:v>Collection, linkage, review, or provenance</x:v>
      </x:c>
    </x:row>
    <x:row r="71">
      <x:c r="A71" s="107" t="str">
        <x:v>Attempts</x:v>
      </x:c>
      <x:c r="B71" s="107" t="str">
        <x:v>manual_item_correct</x:v>
      </x:c>
      <x:c r="C71" s="107" t="str">
        <x:v>Manual Item Correct value used by the collection or export workflow.</x:v>
      </x:c>
      <x:c r="D71" s="107" t="str">
        <x:v>number</x:v>
      </x:c>
      <x:c r="E71" s="107" t="str">
        <x:v>no</x:v>
      </x:c>
      <x:c r="F71" s="107" t="str">
        <x:v>0 or 1</x:v>
      </x:c>
      <x:c r="G71" s="107" t="str">
        <x:v>Label / review</x:v>
      </x:c>
      <x:c r="H71" s="107" t="str">
        <x:v>Research collection workflow</x:v>
      </x:c>
      <x:c r="I71" s="107" t="str">
        <x:v>Collection, linkage, review, or provenance</x:v>
      </x:c>
    </x:row>
    <x:row r="72">
      <x:c r="A72" s="107" t="str">
        <x:v>Attempts</x:v>
      </x:c>
      <x:c r="B72" s="107" t="str">
        <x:v>manual_teacher_transcript</x:v>
      </x:c>
      <x:c r="C72" s="107" t="str">
        <x:v>Manual Teacher Transcript value used by the collection or export workflow.</x:v>
      </x:c>
      <x:c r="D72" s="107" t="str">
        <x:v>text</x:v>
      </x:c>
      <x:c r="E72" s="107" t="str">
        <x:v>no</x:v>
      </x:c>
      <x:c r="F72" s="107" t="str">
        <x:v>See README and collection protocol</x:v>
      </x:c>
      <x:c r="G72" s="107" t="str">
        <x:v>Label / review</x:v>
      </x:c>
      <x:c r="H72" s="107" t="str">
        <x:v>Research collection workflow</x:v>
      </x:c>
      <x:c r="I72" s="107" t="str">
        <x:v>Collection, linkage, review, or provenance</x:v>
      </x:c>
    </x:row>
    <x:row r="73">
      <x:c r="A73" s="107" t="str">
        <x:v>Attempts</x:v>
      </x:c>
      <x:c r="B73" s="107" t="str">
        <x:v>manual_error_type</x:v>
      </x:c>
      <x:c r="C73" s="107" t="str">
        <x:v>Manual Error Type value used by the collection or export workflow.</x:v>
      </x:c>
      <x:c r="D73" s="107" t="str">
        <x:v>text</x:v>
      </x:c>
      <x:c r="E73" s="107" t="str">
        <x:v>no</x:v>
      </x:c>
      <x:c r="F73" s="107" t="str">
        <x:v>See README and collection protocol</x:v>
      </x:c>
      <x:c r="G73" s="107" t="str">
        <x:v>Label / review</x:v>
      </x:c>
      <x:c r="H73" s="107" t="str">
        <x:v>Research collection workflow</x:v>
      </x:c>
      <x:c r="I73" s="107" t="str">
        <x:v>Collection, linkage, review, or provenance</x:v>
      </x:c>
    </x:row>
    <x:row r="74">
      <x:c r="A74" s="107" t="str">
        <x:v>Attempts</x:v>
      </x:c>
      <x:c r="B74" s="107" t="str">
        <x:v>speech_support_label</x:v>
      </x:c>
      <x:c r="C74" s="107" t="str">
        <x:v>Expert-assigned support class. needs_review is not a trainable class.</x:v>
      </x:c>
      <x:c r="D74" s="107" t="str">
        <x:v>text</x:v>
      </x:c>
      <x:c r="E74" s="107" t="str">
        <x:v>yes</x:v>
      </x:c>
      <x:c r="F74" s="107" t="str">
        <x:v>low_support, medium_support, high_support, or needs_review</x:v>
      </x:c>
      <x:c r="G74" s="107" t="str">
        <x:v>Label / review</x:v>
      </x:c>
      <x:c r="H74" s="107" t="str">
        <x:v>Research collection workflow</x:v>
      </x:c>
      <x:c r="I74" s="107" t="str">
        <x:v>Collection, linkage, review, or provenance</x:v>
      </x:c>
    </x:row>
    <x:row r="75">
      <x:c r="A75" s="107" t="str">
        <x:v>Attempts</x:v>
      </x:c>
      <x:c r="B75" s="107" t="str">
        <x:v>label_confidence</x:v>
      </x:c>
      <x:c r="C75" s="107" t="str">
        <x:v>Confidence attached to the expert or exported label.</x:v>
      </x:c>
      <x:c r="D75" s="107" t="str">
        <x:v>decimal</x:v>
      </x:c>
      <x:c r="E75" s="107" t="str">
        <x:v>yes</x:v>
      </x:c>
      <x:c r="F75" s="107" t="str">
        <x:v>Decimal 0-1</x:v>
      </x:c>
      <x:c r="G75" s="107" t="str">
        <x:v>Label / review</x:v>
      </x:c>
      <x:c r="H75" s="107" t="str">
        <x:v>Research collection workflow</x:v>
      </x:c>
      <x:c r="I75" s="107" t="str">
        <x:v>Collection, linkage, review, or provenance</x:v>
      </x:c>
    </x:row>
    <x:row r="76">
      <x:c r="A76" s="107" t="str">
        <x:v>Attempts</x:v>
      </x:c>
      <x:c r="B76" s="107" t="str">
        <x:v>label_notes</x:v>
      </x:c>
      <x:c r="C76" s="107" t="str">
        <x:v>Label Notes value used by the collection or export workflow.</x:v>
      </x:c>
      <x:c r="D76" s="107" t="str">
        <x:v>text</x:v>
      </x:c>
      <x:c r="E76" s="107" t="str">
        <x:v>no</x:v>
      </x:c>
      <x:c r="F76" s="107" t="str">
        <x:v>See README and collection protocol</x:v>
      </x:c>
      <x:c r="G76" s="107" t="str">
        <x:v>Label / review</x:v>
      </x:c>
      <x:c r="H76" s="107" t="str">
        <x:v>Research collection workflow</x:v>
      </x:c>
      <x:c r="I76" s="107" t="str">
        <x:v>Collection, linkage, review, or provenance</x:v>
      </x:c>
    </x:row>
    <x:row r="77">
      <x:c r="A77" s="107" t="str">
        <x:v>Attempts</x:v>
      </x:c>
      <x:c r="B77" s="107" t="str">
        <x:v>labelled_by</x:v>
      </x:c>
      <x:c r="C77" s="107" t="str">
        <x:v>Labelled By value used by the collection or export workflow.</x:v>
      </x:c>
      <x:c r="D77" s="107" t="str">
        <x:v>text</x:v>
      </x:c>
      <x:c r="E77" s="107" t="str">
        <x:v>no</x:v>
      </x:c>
      <x:c r="F77" s="107" t="str">
        <x:v>See README and collection protocol</x:v>
      </x:c>
      <x:c r="G77" s="107" t="str">
        <x:v>Label / review</x:v>
      </x:c>
      <x:c r="H77" s="107" t="str">
        <x:v>Research collection workflow</x:v>
      </x:c>
      <x:c r="I77" s="107" t="str">
        <x:v>Collection, linkage, review, or provenance</x:v>
      </x:c>
    </x:row>
    <x:row r="78">
      <x:c r="A78" s="107" t="str">
        <x:v>Attempts</x:v>
      </x:c>
      <x:c r="B78" s="107" t="str">
        <x:v>labelled_at</x:v>
      </x:c>
      <x:c r="C78" s="107" t="str">
        <x:v>Labelled At value used by the collection or export workflow.</x:v>
      </x:c>
      <x:c r="D78" s="107" t="str">
        <x:v>datetime</x:v>
      </x:c>
      <x:c r="E78" s="107" t="str">
        <x:v>no</x:v>
      </x:c>
      <x:c r="F78" s="107" t="str">
        <x:v>See README and collection protocol</x:v>
      </x:c>
      <x:c r="G78" s="107" t="str">
        <x:v>Label / review</x:v>
      </x:c>
      <x:c r="H78" s="107" t="str">
        <x:v>Research collection workflow</x:v>
      </x:c>
      <x:c r="I78" s="107" t="str">
        <x:v>Collection, linkage, review, or provenance</x:v>
      </x:c>
    </x:row>
    <x:row r="79">
      <x:c r="A79" s="107" t="str">
        <x:v>Attempts</x:v>
      </x:c>
      <x:c r="B79" s="107" t="str">
        <x:v>created_at</x:v>
      </x:c>
      <x:c r="C79" s="107" t="str">
        <x:v>Created At value used by the collection or export workflow.</x:v>
      </x:c>
      <x:c r="D79" s="107" t="str">
        <x:v>datetime</x:v>
      </x:c>
      <x:c r="E79" s="107" t="str">
        <x:v>no</x:v>
      </x:c>
      <x:c r="F79" s="107" t="str">
        <x:v>See README and collection protocol</x:v>
      </x:c>
      <x:c r="G79" s="107" t="str">
        <x:v>Optional input / metadata</x:v>
      </x:c>
      <x:c r="H79" s="107" t="str">
        <x:v>Research collection workflow</x:v>
      </x:c>
      <x:c r="I79" s="107" t="str">
        <x:v>Collection, linkage, review, or provenance</x:v>
      </x:c>
    </x:row>
    <x:row r="80">
      <x:c r="A80" s="107" t="str">
        <x:v>Attempts</x:v>
      </x:c>
      <x:c r="B80" s="107" t="str">
        <x:v>participant_code</x:v>
      </x:c>
      <x:c r="C80" s="107" t="str">
        <x:v>Anonymous participant grouping code. Never enter a child name or contact detail.</x:v>
      </x:c>
      <x:c r="D80" s="107" t="str">
        <x:v>text</x:v>
      </x:c>
      <x:c r="E80" s="107" t="str">
        <x:v>yes</x:v>
      </x:c>
      <x:c r="F80" s="107" t="str">
        <x:v>See README and collection protocol</x:v>
      </x:c>
      <x:c r="G80" s="107" t="str">
        <x:v>Identifier</x:v>
      </x:c>
      <x:c r="H80" s="107" t="str">
        <x:v>Research collection workflow</x:v>
      </x:c>
      <x:c r="I80" s="107" t="str">
        <x:v>Collection, linkage, review, or provenance</x:v>
      </x:c>
    </x:row>
    <x:row r="81">
      <x:c r="A81" s="107" t="str">
        <x:v>Attempts</x:v>
      </x:c>
      <x:c r="B81" s="107" t="str">
        <x:v>is_dummy_data</x:v>
      </x:c>
      <x:c r="C81" s="107" t="str">
        <x:v>Safety marker. Real training rows must be 0; dummy examples are 1.</x:v>
      </x:c>
      <x:c r="D81" s="107" t="str">
        <x:v>number</x:v>
      </x:c>
      <x:c r="E81" s="107" t="str">
        <x:v>no</x:v>
      </x:c>
      <x:c r="F81" s="107" t="str">
        <x:v>0 or 1</x:v>
      </x:c>
      <x:c r="G81" s="107" t="str">
        <x:v>Optional input / metadata</x:v>
      </x:c>
      <x:c r="H81" s="107" t="str">
        <x:v>Research collection workflow</x:v>
      </x:c>
      <x:c r="I81" s="107" t="str">
        <x:v>Collection, linkage, review, or provenance</x:v>
      </x:c>
    </x:row>
    <x:row r="82">
      <x:c r="A82" s="107" t="str">
        <x:v>Expert Labels</x:v>
      </x:c>
      <x:c r="B82" s="107" t="str">
        <x:v>label_id</x:v>
      </x:c>
      <x:c r="C82" s="107" t="str">
        <x:v>Unique identifier for an expert label record.</x:v>
      </x:c>
      <x:c r="D82" s="107" t="str">
        <x:v>text</x:v>
      </x:c>
      <x:c r="E82" s="107" t="str">
        <x:v>yes</x:v>
      </x:c>
      <x:c r="F82" s="107" t="str">
        <x:v>See README and collection protocol</x:v>
      </x:c>
      <x:c r="G82" s="107" t="str">
        <x:v>Identifier</x:v>
      </x:c>
      <x:c r="H82" s="107" t="str">
        <x:v>Research collection workflow</x:v>
      </x:c>
      <x:c r="I82" s="107" t="str">
        <x:v>Collection, linkage, review, or provenance</x:v>
      </x:c>
    </x:row>
    <x:row r="83">
      <x:c r="A83" s="107" t="str">
        <x:v>Expert Labels</x:v>
      </x:c>
      <x:c r="B83" s="107" t="str">
        <x:v>session_id</x:v>
      </x:c>
      <x:c r="C83" s="107" t="str">
        <x:v>Unique identifier for one assessment or practice session.</x:v>
      </x:c>
      <x:c r="D83" s="107" t="str">
        <x:v>text</x:v>
      </x:c>
      <x:c r="E83" s="107" t="str">
        <x:v>yes</x:v>
      </x:c>
      <x:c r="F83" s="107" t="str">
        <x:v>See README and collection protocol</x:v>
      </x:c>
      <x:c r="G83" s="107" t="str">
        <x:v>Identifier</x:v>
      </x:c>
      <x:c r="H83" s="107" t="str">
        <x:v>Research collection workflow</x:v>
      </x:c>
      <x:c r="I83" s="107" t="str">
        <x:v>Collection, linkage, review, or provenance</x:v>
      </x:c>
    </x:row>
    <x:row r="84">
      <x:c r="A84" s="107" t="str">
        <x:v>Expert Labels</x:v>
      </x:c>
      <x:c r="B84" s="107" t="str">
        <x:v>participant_code</x:v>
      </x:c>
      <x:c r="C84" s="107" t="str">
        <x:v>Anonymous participant grouping code. Never enter a child name or contact detail.</x:v>
      </x:c>
      <x:c r="D84" s="107" t="str">
        <x:v>text</x:v>
      </x:c>
      <x:c r="E84" s="107" t="str">
        <x:v>yes</x:v>
      </x:c>
      <x:c r="F84" s="107" t="str">
        <x:v>See README and collection protocol</x:v>
      </x:c>
      <x:c r="G84" s="107" t="str">
        <x:v>Identifier</x:v>
      </x:c>
      <x:c r="H84" s="107" t="str">
        <x:v>Research collection workflow</x:v>
      </x:c>
      <x:c r="I84" s="107" t="str">
        <x:v>Collection, linkage, review, or provenance</x:v>
      </x:c>
    </x:row>
    <x:row r="85">
      <x:c r="A85" s="107" t="str">
        <x:v>Expert Labels</x:v>
      </x:c>
      <x:c r="B85" s="107" t="str">
        <x:v>speech_support_label</x:v>
      </x:c>
      <x:c r="C85" s="107" t="str">
        <x:v>Expert-assigned support class. needs_review is not a trainable class.</x:v>
      </x:c>
      <x:c r="D85" s="107" t="str">
        <x:v>text</x:v>
      </x:c>
      <x:c r="E85" s="107" t="str">
        <x:v>yes</x:v>
      </x:c>
      <x:c r="F85" s="107" t="str">
        <x:v>low_support, medium_support, high_support, or needs_review</x:v>
      </x:c>
      <x:c r="G85" s="107" t="str">
        <x:v>Label / review</x:v>
      </x:c>
      <x:c r="H85" s="107" t="str">
        <x:v>Research collection workflow</x:v>
      </x:c>
      <x:c r="I85" s="107" t="str">
        <x:v>Collection, linkage, review, or provenance</x:v>
      </x:c>
    </x:row>
    <x:row r="86">
      <x:c r="A86" s="107" t="str">
        <x:v>Expert Labels</x:v>
      </x:c>
      <x:c r="B86" s="107" t="str">
        <x:v>label_confidence</x:v>
      </x:c>
      <x:c r="C86" s="107" t="str">
        <x:v>Confidence attached to the expert or exported label.</x:v>
      </x:c>
      <x:c r="D86" s="107" t="str">
        <x:v>decimal</x:v>
      </x:c>
      <x:c r="E86" s="107" t="str">
        <x:v>yes</x:v>
      </x:c>
      <x:c r="F86" s="107" t="str">
        <x:v>Integer 1-5</x:v>
      </x:c>
      <x:c r="G86" s="107" t="str">
        <x:v>Label / review</x:v>
      </x:c>
      <x:c r="H86" s="107" t="str">
        <x:v>Research collection workflow</x:v>
      </x:c>
      <x:c r="I86" s="107" t="str">
        <x:v>Collection, linkage, review, or provenance</x:v>
      </x:c>
    </x:row>
    <x:row r="87">
      <x:c r="A87" s="107" t="str">
        <x:v>Expert Labels</x:v>
      </x:c>
      <x:c r="B87" s="107" t="str">
        <x:v>review_state</x:v>
      </x:c>
      <x:c r="C87" s="107" t="str">
        <x:v>Review State value used by the collection or export workflow.</x:v>
      </x:c>
      <x:c r="D87" s="107" t="str">
        <x:v>text</x:v>
      </x:c>
      <x:c r="E87" s="107" t="str">
        <x:v>yes</x:v>
      </x:c>
      <x:c r="F87" s="107" t="str">
        <x:v>pending, reviewed, adjudicated, or excluded</x:v>
      </x:c>
      <x:c r="G87" s="107" t="str">
        <x:v>Label / review</x:v>
      </x:c>
      <x:c r="H87" s="107" t="str">
        <x:v>Research collection workflow</x:v>
      </x:c>
      <x:c r="I87" s="107" t="str">
        <x:v>Collection, linkage, review, or provenance</x:v>
      </x:c>
    </x:row>
    <x:row r="88">
      <x:c r="A88" s="107" t="str">
        <x:v>Expert Labels</x:v>
      </x:c>
      <x:c r="B88" s="107" t="str">
        <x:v>labelled_by_role</x:v>
      </x:c>
      <x:c r="C88" s="107" t="str">
        <x:v>Labelled By Role value used by the collection or export workflow.</x:v>
      </x:c>
      <x:c r="D88" s="107" t="str">
        <x:v>text</x:v>
      </x:c>
      <x:c r="E88" s="107" t="str">
        <x:v>no</x:v>
      </x:c>
      <x:c r="F88" s="107" t="str">
        <x:v>See README and collection protocol</x:v>
      </x:c>
      <x:c r="G88" s="107" t="str">
        <x:v>Label / review</x:v>
      </x:c>
      <x:c r="H88" s="107" t="str">
        <x:v>Research collection workflow</x:v>
      </x:c>
      <x:c r="I88" s="107" t="str">
        <x:v>Collection, linkage, review, or provenance</x:v>
      </x:c>
    </x:row>
    <x:row r="89">
      <x:c r="A89" s="107" t="str">
        <x:v>Expert Labels</x:v>
      </x:c>
      <x:c r="B89" s="107" t="str">
        <x:v>labelled_at</x:v>
      </x:c>
      <x:c r="C89" s="107" t="str">
        <x:v>Labelled At value used by the collection or export workflow.</x:v>
      </x:c>
      <x:c r="D89" s="107" t="str">
        <x:v>datetime</x:v>
      </x:c>
      <x:c r="E89" s="107" t="str">
        <x:v>no</x:v>
      </x:c>
      <x:c r="F89" s="107" t="str">
        <x:v>See README and collection protocol</x:v>
      </x:c>
      <x:c r="G89" s="107" t="str">
        <x:v>Label / review</x:v>
      </x:c>
      <x:c r="H89" s="107" t="str">
        <x:v>Research collection workflow</x:v>
      </x:c>
      <x:c r="I89" s="107" t="str">
        <x:v>Collection, linkage, review, or provenance</x:v>
      </x:c>
    </x:row>
    <x:row r="90">
      <x:c r="A90" s="107" t="str">
        <x:v>Expert Labels</x:v>
      </x:c>
      <x:c r="B90" s="107" t="str">
        <x:v>label_notes</x:v>
      </x:c>
      <x:c r="C90" s="107" t="str">
        <x:v>Label Notes value used by the collection or export workflow.</x:v>
      </x:c>
      <x:c r="D90" s="107" t="str">
        <x:v>text</x:v>
      </x:c>
      <x:c r="E90" s="107" t="str">
        <x:v>no</x:v>
      </x:c>
      <x:c r="F90" s="107" t="str">
        <x:v>See README and collection protocol</x:v>
      </x:c>
      <x:c r="G90" s="107" t="str">
        <x:v>Label / review</x:v>
      </x:c>
      <x:c r="H90" s="107" t="str">
        <x:v>Research collection workflow</x:v>
      </x:c>
      <x:c r="I90" s="107" t="str">
        <x:v>Collection, linkage, review, or provenance</x:v>
      </x:c>
    </x:row>
    <x:row r="91">
      <x:c r="A91" s="107" t="str">
        <x:v>Session Training Data</x:v>
      </x:c>
      <x:c r="B91" s="107" t="str">
        <x:v>session_id</x:v>
      </x:c>
      <x:c r="C91" s="107" t="str">
        <x:v>Unique identifier for one assessment or practice session.</x:v>
      </x:c>
      <x:c r="D91" s="107" t="str">
        <x:v>text</x:v>
      </x:c>
      <x:c r="E91" s="107" t="str">
        <x:v>yes</x:v>
      </x:c>
      <x:c r="F91" s="107" t="str">
        <x:v>See README and collection protocol</x:v>
      </x:c>
      <x:c r="G91" s="107" t="str">
        <x:v>Identifier</x:v>
      </x:c>
      <x:c r="H91" s="107" t="str">
        <x:v>Backend session aggregate or controlled preparation</x:v>
      </x:c>
      <x:c r="I91" s="107" t="str">
        <x:v>Metadata / excluded from numeric features</x:v>
      </x:c>
    </x:row>
    <x:row r="92">
      <x:c r="A92" s="107" t="str">
        <x:v>Session Training Data</x:v>
      </x:c>
      <x:c r="B92" s="107" t="str">
        <x:v>grade</x:v>
      </x:c>
      <x:c r="C92" s="107" t="str">
        <x:v>Grade value used by the collection or export workflow.</x:v>
      </x:c>
      <x:c r="D92" s="107" t="str">
        <x:v>text</x:v>
      </x:c>
      <x:c r="E92" s="107" t="str">
        <x:v>yes</x:v>
      </x:c>
      <x:c r="F92" s="107" t="str">
        <x:v>2, 3, 4, or 5</x:v>
      </x:c>
      <x:c r="G92" s="107" t="str">
        <x:v>Required input</x:v>
      </x:c>
      <x:c r="H92" s="107" t="str">
        <x:v>Backend session aggregate or controlled preparation</x:v>
      </x:c>
      <x:c r="I92" s="107" t="str">
        <x:v>Candidate numeric model feature</x:v>
      </x:c>
    </x:row>
    <x:row r="93">
      <x:c r="A93" s="107" t="str">
        <x:v>Session Training Data</x:v>
      </x:c>
      <x:c r="B93" s="107" t="str">
        <x:v>mode</x:v>
      </x:c>
      <x:c r="C93" s="107" t="str">
        <x:v>Mode value used by the collection or export workflow.</x:v>
      </x:c>
      <x:c r="D93" s="107" t="str">
        <x:v>text</x:v>
      </x:c>
      <x:c r="E93" s="107" t="str">
        <x:v>yes</x:v>
      </x:c>
      <x:c r="F93" s="107" t="str">
        <x:v>identification or improvement</x:v>
      </x:c>
      <x:c r="G93" s="107" t="str">
        <x:v>Required input</x:v>
      </x:c>
      <x:c r="H93" s="107" t="str">
        <x:v>Backend session aggregate or controlled preparation</x:v>
      </x:c>
      <x:c r="I93" s="107" t="str">
        <x:v>Metadata / excluded from numeric features</x:v>
      </x:c>
    </x:row>
    <x:row r="94">
      <x:c r="A94" s="107" t="str">
        <x:v>Session Training Data</x:v>
      </x:c>
      <x:c r="B94" s="107" t="str">
        <x:v>activity_id</x:v>
      </x:c>
      <x:c r="C94" s="107" t="str">
        <x:v>Activity Id value used by the collection or export workflow.</x:v>
      </x:c>
      <x:c r="D94" s="107" t="str">
        <x:v>text</x:v>
      </x:c>
      <x:c r="E94" s="107" t="str">
        <x:v>no</x:v>
      </x:c>
      <x:c r="F94" s="107" t="str">
        <x:v>See README and collection protocol</x:v>
      </x:c>
      <x:c r="G94" s="107" t="str">
        <x:v>Identifier</x:v>
      </x:c>
      <x:c r="H94" s="107" t="str">
        <x:v>Backend session aggregate or controlled preparation</x:v>
      </x:c>
      <x:c r="I94" s="107" t="str">
        <x:v>Metadata / excluded from numeric features</x:v>
      </x:c>
    </x:row>
    <x:row r="95">
      <x:c r="A95" s="107" t="str">
        <x:v>Session Training Data</x:v>
      </x:c>
      <x:c r="B95" s="107" t="str">
        <x:v>status</x:v>
      </x:c>
      <x:c r="C95" s="107" t="str">
        <x:v>Status value used by the collection or export workflow.</x:v>
      </x:c>
      <x:c r="D95" s="107" t="str">
        <x:v>text</x:v>
      </x:c>
      <x:c r="E95" s="107" t="str">
        <x:v>yes</x:v>
      </x:c>
      <x:c r="F95" s="107" t="str">
        <x:v>See README and collection protocol</x:v>
      </x:c>
      <x:c r="G95" s="107" t="str">
        <x:v>Required input</x:v>
      </x:c>
      <x:c r="H95" s="107" t="str">
        <x:v>Backend session aggregate or controlled preparation</x:v>
      </x:c>
      <x:c r="I95" s="107" t="str">
        <x:v>Metadata / excluded from numeric features</x:v>
      </x:c>
    </x:row>
    <x:row r="96">
      <x:c r="A96" s="107" t="str">
        <x:v>Session Training Data</x:v>
      </x:c>
      <x:c r="B96" s="107" t="str">
        <x:v>total_attempts</x:v>
      </x:c>
      <x:c r="C96" s="107" t="str">
        <x:v>Total Attempts value used by the collection or export workflow.</x:v>
      </x:c>
      <x:c r="D96" s="107" t="str">
        <x:v>number</x:v>
      </x:c>
      <x:c r="E96" s="107" t="str">
        <x:v>no</x:v>
      </x:c>
      <x:c r="F96" s="107" t="str">
        <x:v>Whole number &gt;= 0</x:v>
      </x:c>
      <x:c r="G96" s="107" t="str">
        <x:v>Calculated / measured</x:v>
      </x:c>
      <x:c r="H96" s="107" t="str">
        <x:v>Backend session aggregate or controlled preparation</x:v>
      </x:c>
      <x:c r="I96" s="107" t="str">
        <x:v>Candidate numeric model feature</x:v>
      </x:c>
    </x:row>
    <x:row r="97">
      <x:c r="A97" s="107" t="str">
        <x:v>Session Training Data</x:v>
      </x:c>
      <x:c r="B97" s="107" t="str">
        <x:v>valid_attempts</x:v>
      </x:c>
      <x:c r="C97" s="107" t="str">
        <x:v>Valid Attempts value used by the collection or export workflow.</x:v>
      </x:c>
      <x:c r="D97" s="107" t="str">
        <x:v>number</x:v>
      </x:c>
      <x:c r="E97" s="107" t="str">
        <x:v>no</x:v>
      </x:c>
      <x:c r="F97" s="107" t="str">
        <x:v>Whole number &gt;= 0</x:v>
      </x:c>
      <x:c r="G97" s="107" t="str">
        <x:v>Calculated / measured</x:v>
      </x:c>
      <x:c r="H97" s="107" t="str">
        <x:v>Backend session aggregate or controlled preparation</x:v>
      </x:c>
      <x:c r="I97" s="107" t="str">
        <x:v>Candidate numeric model feature</x:v>
      </x:c>
    </x:row>
    <x:row r="98">
      <x:c r="A98" s="107" t="str">
        <x:v>Session Training Data</x:v>
      </x:c>
      <x:c r="B98" s="107" t="str">
        <x:v>invalid_attempts</x:v>
      </x:c>
      <x:c r="C98" s="107" t="str">
        <x:v>Invalid Attempts value used by the collection or export workflow.</x:v>
      </x:c>
      <x:c r="D98" s="107" t="str">
        <x:v>number</x:v>
      </x:c>
      <x:c r="E98" s="107" t="str">
        <x:v>no</x:v>
      </x:c>
      <x:c r="F98" s="107" t="str">
        <x:v>Whole number &gt;= 0</x:v>
      </x:c>
      <x:c r="G98" s="107" t="str">
        <x:v>Calculated / measured</x:v>
      </x:c>
      <x:c r="H98" s="107" t="str">
        <x:v>Backend session aggregate or controlled preparation</x:v>
      </x:c>
      <x:c r="I98" s="107" t="str">
        <x:v>Candidate numeric model feature</x:v>
      </x:c>
    </x:row>
    <x:row r="99">
      <x:c r="A99" s="107" t="str">
        <x:v>Session Training Data</x:v>
      </x:c>
      <x:c r="B99" s="107" t="str">
        <x:v>retry_rate</x:v>
      </x:c>
      <x:c r="C99" s="107" t="str">
        <x:v>Retry Rate value used by the collection or export workflow.</x:v>
      </x:c>
      <x:c r="D99" s="107" t="str">
        <x:v>decimal</x:v>
      </x:c>
      <x:c r="E99" s="107" t="str">
        <x:v>no</x:v>
      </x:c>
      <x:c r="F99" s="107" t="str">
        <x:v>Decimal 0-1</x:v>
      </x:c>
      <x:c r="G99" s="107" t="str">
        <x:v>Calculated / measured</x:v>
      </x:c>
      <x:c r="H99" s="107" t="str">
        <x:v>Backend session aggregate or controlled preparation</x:v>
      </x:c>
      <x:c r="I99" s="107" t="str">
        <x:v>Candidate numeric model feature</x:v>
      </x:c>
    </x:row>
    <x:row r="100">
      <x:c r="A100" s="107" t="str">
        <x:v>Session Training Data</x:v>
      </x:c>
      <x:c r="B100" s="107" t="str">
        <x:v>word_accuracy</x:v>
      </x:c>
      <x:c r="C100" s="107" t="str">
        <x:v>Word Accuracy value used by the collection or export workflow.</x:v>
      </x:c>
      <x:c r="D100" s="107" t="str">
        <x:v>decimal</x:v>
      </x:c>
      <x:c r="E100" s="107" t="str">
        <x:v>no</x:v>
      </x:c>
      <x:c r="F100" s="107" t="str">
        <x:v>Decimal 0-1</x:v>
      </x:c>
      <x:c r="G100" s="107" t="str">
        <x:v>Calculated / measured</x:v>
      </x:c>
      <x:c r="H100" s="107" t="str">
        <x:v>Backend session aggregate or controlled preparation</x:v>
      </x:c>
      <x:c r="I100" s="107" t="str">
        <x:v>Candidate numeric model feature</x:v>
      </x:c>
    </x:row>
    <x:row r="101">
      <x:c r="A101" s="107" t="str">
        <x:v>Session Training Data</x:v>
      </x:c>
      <x:c r="B101" s="107" t="str">
        <x:v>pseudoword_accuracy</x:v>
      </x:c>
      <x:c r="C101" s="107" t="str">
        <x:v>Pseudoword Accuracy value used by the collection or export workflow.</x:v>
      </x:c>
      <x:c r="D101" s="107" t="str">
        <x:v>decimal</x:v>
      </x:c>
      <x:c r="E101" s="107" t="str">
        <x:v>no</x:v>
      </x:c>
      <x:c r="F101" s="107" t="str">
        <x:v>Decimal 0-1</x:v>
      </x:c>
      <x:c r="G101" s="107" t="str">
        <x:v>Calculated / measured</x:v>
      </x:c>
      <x:c r="H101" s="107" t="str">
        <x:v>Backend session aggregate or controlled preparation</x:v>
      </x:c>
      <x:c r="I101" s="107" t="str">
        <x:v>Candidate numeric model feature</x:v>
      </x:c>
    </x:row>
    <x:row r="102">
      <x:c r="A102" s="107" t="str">
        <x:v>Session Training Data</x:v>
      </x:c>
      <x:c r="B102" s="107" t="str">
        <x:v>sentence_accuracy</x:v>
      </x:c>
      <x:c r="C102" s="107" t="str">
        <x:v>Sentence Accuracy value used by the collection or export workflow.</x:v>
      </x:c>
      <x:c r="D102" s="107" t="str">
        <x:v>decimal</x:v>
      </x:c>
      <x:c r="E102" s="107" t="str">
        <x:v>no</x:v>
      </x:c>
      <x:c r="F102" s="107" t="str">
        <x:v>Decimal 0-1</x:v>
      </x:c>
      <x:c r="G102" s="107" t="str">
        <x:v>Calculated / measured</x:v>
      </x:c>
      <x:c r="H102" s="107" t="str">
        <x:v>Backend session aggregate or controlled preparation</x:v>
      </x:c>
      <x:c r="I102" s="107" t="str">
        <x:v>Candidate numeric model feature</x:v>
      </x:c>
    </x:row>
    <x:row r="103">
      <x:c r="A103" s="107" t="str">
        <x:v>Session Training Data</x:v>
      </x:c>
      <x:c r="B103" s="107" t="str">
        <x:v>mean_character_error_rate</x:v>
      </x:c>
      <x:c r="C103" s="107" t="str">
        <x:v>Mean Character Error Rate value used by the collection or export workflow.</x:v>
      </x:c>
      <x:c r="D103" s="107" t="str">
        <x:v>decimal</x:v>
      </x:c>
      <x:c r="E103" s="107" t="str">
        <x:v>no</x:v>
      </x:c>
      <x:c r="F103" s="107" t="str">
        <x:v>Decimal 0-1</x:v>
      </x:c>
      <x:c r="G103" s="107" t="str">
        <x:v>Calculated / measured</x:v>
      </x:c>
      <x:c r="H103" s="107" t="str">
        <x:v>Backend session aggregate or controlled preparation</x:v>
      </x:c>
      <x:c r="I103" s="107" t="str">
        <x:v>Candidate numeric model feature</x:v>
      </x:c>
    </x:row>
    <x:row r="104">
      <x:c r="A104" s="107" t="str">
        <x:v>Session Training Data</x:v>
      </x:c>
      <x:c r="B104" s="107" t="str">
        <x:v>mean_word_error_rate</x:v>
      </x:c>
      <x:c r="C104" s="107" t="str">
        <x:v>Mean Word Error Rate value used by the collection or export workflow.</x:v>
      </x:c>
      <x:c r="D104" s="107" t="str">
        <x:v>decimal</x:v>
      </x:c>
      <x:c r="E104" s="107" t="str">
        <x:v>no</x:v>
      </x:c>
      <x:c r="F104" s="107" t="str">
        <x:v>Decimal 0-1</x:v>
      </x:c>
      <x:c r="G104" s="107" t="str">
        <x:v>Calculated / measured</x:v>
      </x:c>
      <x:c r="H104" s="107" t="str">
        <x:v>Backend session aggregate or controlled preparation</x:v>
      </x:c>
      <x:c r="I104" s="107" t="str">
        <x:v>Candidate numeric model feature</x:v>
      </x:c>
    </x:row>
    <x:row r="105">
      <x:c r="A105" s="107" t="str">
        <x:v>Session Training Data</x:v>
      </x:c>
      <x:c r="B105" s="107" t="str">
        <x:v>mean_partial_match_score</x:v>
      </x:c>
      <x:c r="C105" s="107" t="str">
        <x:v>Mean Partial Match Score value used by the collection or export workflow.</x:v>
      </x:c>
      <x:c r="D105" s="107" t="str">
        <x:v>decimal</x:v>
      </x:c>
      <x:c r="E105" s="107" t="str">
        <x:v>no</x:v>
      </x:c>
      <x:c r="F105" s="107" t="str">
        <x:v>Decimal 0-1</x:v>
      </x:c>
      <x:c r="G105" s="107" t="str">
        <x:v>Calculated / measured</x:v>
      </x:c>
      <x:c r="H105" s="107" t="str">
        <x:v>Backend session aggregate or controlled preparation</x:v>
      </x:c>
      <x:c r="I105" s="107" t="str">
        <x:v>Candidate numeric model feature</x:v>
      </x:c>
    </x:row>
    <x:row r="106">
      <x:c r="A106" s="107" t="str">
        <x:v>Session Training Data</x:v>
      </x:c>
      <x:c r="B106" s="107" t="str">
        <x:v>mean_phoneme_error_rate</x:v>
      </x:c>
      <x:c r="C106" s="107" t="str">
        <x:v>Mean Phoneme Error Rate value used by the collection or export workflow.</x:v>
      </x:c>
      <x:c r="D106" s="107" t="str">
        <x:v>decimal</x:v>
      </x:c>
      <x:c r="E106" s="107" t="str">
        <x:v>no</x:v>
      </x:c>
      <x:c r="F106" s="107" t="str">
        <x:v>Decimal 0-1</x:v>
      </x:c>
      <x:c r="G106" s="107" t="str">
        <x:v>Calculated / measured</x:v>
      </x:c>
      <x:c r="H106" s="107" t="str">
        <x:v>Backend session aggregate or controlled preparation</x:v>
      </x:c>
      <x:c r="I106" s="107" t="str">
        <x:v>Candidate numeric model feature</x:v>
      </x:c>
    </x:row>
    <x:row r="107">
      <x:c r="A107" s="107" t="str">
        <x:v>Session Training Data</x:v>
      </x:c>
      <x:c r="B107" s="107" t="str">
        <x:v>initial_sound_error_rate</x:v>
      </x:c>
      <x:c r="C107" s="107" t="str">
        <x:v>Initial Sound Error Rate value used by the collection or export workflow.</x:v>
      </x:c>
      <x:c r="D107" s="107" t="str">
        <x:v>decimal</x:v>
      </x:c>
      <x:c r="E107" s="107" t="str">
        <x:v>no</x:v>
      </x:c>
      <x:c r="F107" s="107" t="str">
        <x:v>Decimal 0-1</x:v>
      </x:c>
      <x:c r="G107" s="107" t="str">
        <x:v>Calculated / measured</x:v>
      </x:c>
      <x:c r="H107" s="107" t="str">
        <x:v>Backend session aggregate or controlled preparation</x:v>
      </x:c>
      <x:c r="I107" s="107" t="str">
        <x:v>Candidate numeric model feature</x:v>
      </x:c>
    </x:row>
    <x:row r="108">
      <x:c r="A108" s="107" t="str">
        <x:v>Session Training Data</x:v>
      </x:c>
      <x:c r="B108" s="107" t="str">
        <x:v>final_sound_error_rate</x:v>
      </x:c>
      <x:c r="C108" s="107" t="str">
        <x:v>Final Sound Error Rate value used by the collection or export workflow.</x:v>
      </x:c>
      <x:c r="D108" s="107" t="str">
        <x:v>decimal</x:v>
      </x:c>
      <x:c r="E108" s="107" t="str">
        <x:v>no</x:v>
      </x:c>
      <x:c r="F108" s="107" t="str">
        <x:v>Decimal 0-1</x:v>
      </x:c>
      <x:c r="G108" s="107" t="str">
        <x:v>Calculated / measured</x:v>
      </x:c>
      <x:c r="H108" s="107" t="str">
        <x:v>Backend session aggregate or controlled preparation</x:v>
      </x:c>
      <x:c r="I108" s="107" t="str">
        <x:v>Candidate numeric model feature</x:v>
      </x:c>
    </x:row>
    <x:row r="109">
      <x:c r="A109" s="107" t="str">
        <x:v>Session Training Data</x:v>
      </x:c>
      <x:c r="B109" s="107" t="str">
        <x:v>vowel_mismatch_rate</x:v>
      </x:c>
      <x:c r="C109" s="107" t="str">
        <x:v>Vowel Mismatch Rate value used by the collection or export workflow.</x:v>
      </x:c>
      <x:c r="D109" s="107" t="str">
        <x:v>decimal</x:v>
      </x:c>
      <x:c r="E109" s="107" t="str">
        <x:v>no</x:v>
      </x:c>
      <x:c r="F109" s="107" t="str">
        <x:v>Decimal 0-1</x:v>
      </x:c>
      <x:c r="G109" s="107" t="str">
        <x:v>Calculated / measured</x:v>
      </x:c>
      <x:c r="H109" s="107" t="str">
        <x:v>Backend session aggregate or controlled preparation</x:v>
      </x:c>
      <x:c r="I109" s="107" t="str">
        <x:v>Candidate numeric model feature</x:v>
      </x:c>
    </x:row>
    <x:row r="110">
      <x:c r="A110" s="107" t="str">
        <x:v>Session Training Data</x:v>
      </x:c>
      <x:c r="B110" s="107" t="str">
        <x:v>consonant_cluster_error_rate</x:v>
      </x:c>
      <x:c r="C110" s="107" t="str">
        <x:v>Consonant Cluster Error Rate value used by the collection or export workflow.</x:v>
      </x:c>
      <x:c r="D110" s="107" t="str">
        <x:v>decimal</x:v>
      </x:c>
      <x:c r="E110" s="107" t="str">
        <x:v>no</x:v>
      </x:c>
      <x:c r="F110" s="107" t="str">
        <x:v>Decimal 0-1</x:v>
      </x:c>
      <x:c r="G110" s="107" t="str">
        <x:v>Calculated / measured</x:v>
      </x:c>
      <x:c r="H110" s="107" t="str">
        <x:v>Backend session aggregate or controlled preparation</x:v>
      </x:c>
      <x:c r="I110" s="107" t="str">
        <x:v>Candidate numeric model feature</x:v>
      </x:c>
    </x:row>
    <x:row r="111">
      <x:c r="A111" s="107" t="str">
        <x:v>Session Training Data</x:v>
      </x:c>
      <x:c r="B111" s="107" t="str">
        <x:v>common_phoneme_error_pattern</x:v>
      </x:c>
      <x:c r="C111" s="107" t="str">
        <x:v>Most common normalized phoneme error pattern in the session.</x:v>
      </x:c>
      <x:c r="D111" s="107" t="str">
        <x:v>text</x:v>
      </x:c>
      <x:c r="E111" s="107" t="str">
        <x:v>no</x:v>
      </x:c>
      <x:c r="F111" s="107" t="str">
        <x:v>See README and collection protocol</x:v>
      </x:c>
      <x:c r="G111" s="107" t="str">
        <x:v>Calculated / measured</x:v>
      </x:c>
      <x:c r="H111" s="107" t="str">
        <x:v>Backend session aggregate or controlled preparation</x:v>
      </x:c>
      <x:c r="I111" s="107" t="str">
        <x:v>Metadata / excluded from numeric features</x:v>
      </x:c>
    </x:row>
    <x:row r="112">
      <x:c r="A112" s="107" t="str">
        <x:v>Session Training Data</x:v>
      </x:c>
      <x:c r="B112" s="107" t="str">
        <x:v>mean_speech_duration_sec</x:v>
      </x:c>
      <x:c r="C112" s="107" t="str">
        <x:v>Mean Speech Duration Sec value used by the collection or export workflow.</x:v>
      </x:c>
      <x:c r="D112" s="107" t="str">
        <x:v>number</x:v>
      </x:c>
      <x:c r="E112" s="107" t="str">
        <x:v>no</x:v>
      </x:c>
      <x:c r="F112" s="107" t="str">
        <x:v>Number &gt;= 0</x:v>
      </x:c>
      <x:c r="G112" s="107" t="str">
        <x:v>Calculated / measured</x:v>
      </x:c>
      <x:c r="H112" s="107" t="str">
        <x:v>Backend session aggregate or controlled preparation</x:v>
      </x:c>
      <x:c r="I112" s="107" t="str">
        <x:v>Candidate numeric model feature</x:v>
      </x:c>
    </x:row>
    <x:row r="113">
      <x:c r="A113" s="107" t="str">
        <x:v>Session Training Data</x:v>
      </x:c>
      <x:c r="B113" s="107" t="str">
        <x:v>mean_pause_count</x:v>
      </x:c>
      <x:c r="C113" s="107" t="str">
        <x:v>Mean Pause Count value used by the collection or export workflow.</x:v>
      </x:c>
      <x:c r="D113" s="107" t="str">
        <x:v>number</x:v>
      </x:c>
      <x:c r="E113" s="107" t="str">
        <x:v>no</x:v>
      </x:c>
      <x:c r="F113" s="107" t="str">
        <x:v>Whole number &gt;= 0</x:v>
      </x:c>
      <x:c r="G113" s="107" t="str">
        <x:v>Calculated / measured</x:v>
      </x:c>
      <x:c r="H113" s="107" t="str">
        <x:v>Backend session aggregate or controlled preparation</x:v>
      </x:c>
      <x:c r="I113" s="107" t="str">
        <x:v>Candidate numeric model feature</x:v>
      </x:c>
    </x:row>
    <x:row r="114">
      <x:c r="A114" s="107" t="str">
        <x:v>Session Training Data</x:v>
      </x:c>
      <x:c r="B114" s="107" t="str">
        <x:v>mean_audio_quality_score</x:v>
      </x:c>
      <x:c r="C114" s="107" t="str">
        <x:v>Mean Audio Quality Score value used by the collection or export workflow.</x:v>
      </x:c>
      <x:c r="D114" s="107" t="str">
        <x:v>decimal</x:v>
      </x:c>
      <x:c r="E114" s="107" t="str">
        <x:v>no</x:v>
      </x:c>
      <x:c r="F114" s="107" t="str">
        <x:v>Decimal 0-1</x:v>
      </x:c>
      <x:c r="G114" s="107" t="str">
        <x:v>Calculated / measured</x:v>
      </x:c>
      <x:c r="H114" s="107" t="str">
        <x:v>Backend session aggregate or controlled preparation</x:v>
      </x:c>
      <x:c r="I114" s="107" t="str">
        <x:v>Candidate numeric model feature</x:v>
      </x:c>
    </x:row>
    <x:row r="115">
      <x:c r="A115" s="107" t="str">
        <x:v>Session Training Data</x:v>
      </x:c>
      <x:c r="B115" s="107" t="str">
        <x:v>mean_pronunciation_model_score</x:v>
      </x:c>
      <x:c r="C115" s="107" t="str">
        <x:v>Mean Pronunciation Model Score value used by the collection or export workflow.</x:v>
      </x:c>
      <x:c r="D115" s="107" t="str">
        <x:v>decimal</x:v>
      </x:c>
      <x:c r="E115" s="107" t="str">
        <x:v>no</x:v>
      </x:c>
      <x:c r="F115" s="107" t="str">
        <x:v>Decimal 0-1</x:v>
      </x:c>
      <x:c r="G115" s="107" t="str">
        <x:v>Calculated / measured</x:v>
      </x:c>
      <x:c r="H115" s="107" t="str">
        <x:v>Backend session aggregate or controlled preparation</x:v>
      </x:c>
      <x:c r="I115" s="107" t="str">
        <x:v>Candidate numeric model feature</x:v>
      </x:c>
    </x:row>
    <x:row r="116">
      <x:c r="A116" s="107" t="str">
        <x:v>Session Training Data</x:v>
      </x:c>
      <x:c r="B116" s="107" t="str">
        <x:v>labelled_attempt_count</x:v>
      </x:c>
      <x:c r="C116" s="107" t="str">
        <x:v>Labelled Attempt Count value used by the collection or export workflow.</x:v>
      </x:c>
      <x:c r="D116" s="107" t="str">
        <x:v>number</x:v>
      </x:c>
      <x:c r="E116" s="107" t="str">
        <x:v>no</x:v>
      </x:c>
      <x:c r="F116" s="107" t="str">
        <x:v>Whole number &gt;= 0</x:v>
      </x:c>
      <x:c r="G116" s="107" t="str">
        <x:v>Calculated / measured</x:v>
      </x:c>
      <x:c r="H116" s="107" t="str">
        <x:v>Backend session aggregate or controlled preparation</x:v>
      </x:c>
      <x:c r="I116" s="107" t="str">
        <x:v>Candidate numeric model feature</x:v>
      </x:c>
    </x:row>
    <x:row r="117">
      <x:c r="A117" s="107" t="str">
        <x:v>Session Training Data</x:v>
      </x:c>
      <x:c r="B117" s="107" t="str">
        <x:v>speech_support_label</x:v>
      </x:c>
      <x:c r="C117" s="107" t="str">
        <x:v>Expert-assigned support class. needs_review is not a trainable class.</x:v>
      </x:c>
      <x:c r="D117" s="107" t="str">
        <x:v>text</x:v>
      </x:c>
      <x:c r="E117" s="107" t="str">
        <x:v>yes</x:v>
      </x:c>
      <x:c r="F117" s="107" t="str">
        <x:v>low_support, medium_support, or high_support</x:v>
      </x:c>
      <x:c r="G117" s="107" t="str">
        <x:v>Label / review</x:v>
      </x:c>
      <x:c r="H117" s="107" t="str">
        <x:v>Backend session aggregate or controlled preparation</x:v>
      </x:c>
      <x:c r="I117" s="107" t="str">
        <x:v>Metadata / excluded from numeric features</x:v>
      </x:c>
    </x:row>
    <x:row r="118">
      <x:c r="A118" s="107" t="str">
        <x:v>Session Training Data</x:v>
      </x:c>
      <x:c r="B118" s="107" t="str">
        <x:v>label_confidence</x:v>
      </x:c>
      <x:c r="C118" s="107" t="str">
        <x:v>Confidence attached to the expert or exported label.</x:v>
      </x:c>
      <x:c r="D118" s="107" t="str">
        <x:v>decimal</x:v>
      </x:c>
      <x:c r="E118" s="107" t="str">
        <x:v>yes</x:v>
      </x:c>
      <x:c r="F118" s="107" t="str">
        <x:v>Decimal 0-1</x:v>
      </x:c>
      <x:c r="G118" s="107" t="str">
        <x:v>Label / review</x:v>
      </x:c>
      <x:c r="H118" s="107" t="str">
        <x:v>Backend session aggregate or controlled preparation</x:v>
      </x:c>
      <x:c r="I118" s="107" t="str">
        <x:v>Candidate numeric model feature</x:v>
      </x:c>
    </x:row>
    <x:row r="119">
      <x:c r="A119" s="107" t="str">
        <x:v>Session Training Data</x:v>
      </x:c>
      <x:c r="B119" s="107" t="str">
        <x:v>dataset_ready</x:v>
      </x:c>
      <x:c r="C119" s="107" t="str">
        <x:v>Exporter readiness indicator for the session record.</x:v>
      </x:c>
      <x:c r="D119" s="107" t="str">
        <x:v>number</x:v>
      </x:c>
      <x:c r="E119" s="107" t="str">
        <x:v>no</x:v>
      </x:c>
      <x:c r="F119" s="107" t="str">
        <x:v>0 or 1</x:v>
      </x:c>
      <x:c r="G119" s="107" t="str">
        <x:v>Optional input / metadata</x:v>
      </x:c>
      <x:c r="H119" s="107" t="str">
        <x:v>Backend session aggregate or controlled preparation</x:v>
      </x:c>
      <x:c r="I119" s="107" t="str">
        <x:v>Candidate numeric model feature</x:v>
      </x:c>
    </x:row>
    <x:row r="120">
      <x:c r="A120" s="107" t="str">
        <x:v>Session Training Data</x:v>
      </x:c>
      <x:c r="B120" s="107" t="str">
        <x:v>created_at</x:v>
      </x:c>
      <x:c r="C120" s="107" t="str">
        <x:v>Created At value used by the collection or export workflow.</x:v>
      </x:c>
      <x:c r="D120" s="107" t="str">
        <x:v>datetime</x:v>
      </x:c>
      <x:c r="E120" s="107" t="str">
        <x:v>no</x:v>
      </x:c>
      <x:c r="F120" s="107" t="str">
        <x:v>See README and collection protocol</x:v>
      </x:c>
      <x:c r="G120" s="107" t="str">
        <x:v>Optional input / metadata</x:v>
      </x:c>
      <x:c r="H120" s="107" t="str">
        <x:v>Backend session aggregate or controlled preparation</x:v>
      </x:c>
      <x:c r="I120" s="107" t="str">
        <x:v>Metadata / excluded from numeric features</x:v>
      </x:c>
    </x:row>
    <x:row r="121">
      <x:c r="A121" s="107" t="str">
        <x:v>Session Training Data</x:v>
      </x:c>
      <x:c r="B121" s="107" t="str">
        <x:v>completed_at</x:v>
      </x:c>
      <x:c r="C121" s="107" t="str">
        <x:v>Completed At value used by the collection or export workflow.</x:v>
      </x:c>
      <x:c r="D121" s="107" t="str">
        <x:v>datetime</x:v>
      </x:c>
      <x:c r="E121" s="107" t="str">
        <x:v>no</x:v>
      </x:c>
      <x:c r="F121" s="107" t="str">
        <x:v>See README and collection protocol</x:v>
      </x:c>
      <x:c r="G121" s="107" t="str">
        <x:v>Optional input / metadata</x:v>
      </x:c>
      <x:c r="H121" s="107" t="str">
        <x:v>Backend session aggregate or controlled preparation</x:v>
      </x:c>
      <x:c r="I121" s="107" t="str">
        <x:v>Metadata / excluded from numeric features</x:v>
      </x:c>
    </x:row>
    <x:row r="122">
      <x:c r="A122" s="107" t="str">
        <x:v>Session Training Data</x:v>
      </x:c>
      <x:c r="B122" s="107" t="str">
        <x:v>participant_code</x:v>
      </x:c>
      <x:c r="C122" s="107" t="str">
        <x:v>Anonymous participant grouping code. Never enter a child name or contact detail.</x:v>
      </x:c>
      <x:c r="D122" s="107" t="str">
        <x:v>text</x:v>
      </x:c>
      <x:c r="E122" s="107" t="str">
        <x:v>yes</x:v>
      </x:c>
      <x:c r="F122" s="107" t="str">
        <x:v>See README and collection protocol</x:v>
      </x:c>
      <x:c r="G122" s="107" t="str">
        <x:v>Identifier</x:v>
      </x:c>
      <x:c r="H122" s="107" t="str">
        <x:v>Backend session aggregate or controlled preparation</x:v>
      </x:c>
      <x:c r="I122" s="107" t="str">
        <x:v>Metadata / excluded from numeric features</x:v>
      </x:c>
    </x:row>
    <x:row r="123">
      <x:c r="A123" s="107" t="str">
        <x:v>Session Training Data</x:v>
      </x:c>
      <x:c r="B123" s="107" t="str">
        <x:v>is_dummy_data</x:v>
      </x:c>
      <x:c r="C123" s="107" t="str">
        <x:v>Safety marker. Real training rows must be 0; dummy examples are 1.</x:v>
      </x:c>
      <x:c r="D123" s="107" t="str">
        <x:v>number</x:v>
      </x:c>
      <x:c r="E123" s="107" t="str">
        <x:v>no</x:v>
      </x:c>
      <x:c r="F123" s="107" t="str">
        <x:v>0 or 1</x:v>
      </x:c>
      <x:c r="G123" s="107" t="str">
        <x:v>Optional input / metadata</x:v>
      </x:c>
      <x:c r="H123" s="107" t="str">
        <x:v>Backend session aggregate or controlled preparation</x:v>
      </x:c>
      <x:c r="I123" s="107" t="str">
        <x:v>Metadata / excluded from numeric features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29173cb4111d4ce3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  <x:selection pane="bottomLeft" activeCell="A5" sqref="A5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</x:cols>
  <x:sheetData>
    <x:row r="1" ht="30" customHeight="1">
      <x:c r="A1" s="3" t="str">
        <x:v>Controlled Code Lists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2" customHeight="1">
      <x:c r="A2" s="7" t="str">
        <x:v>Do not replace values without updating the collection protocol, validations, trainer contract, and tests.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42" customHeight="1">
      <x:c r="A4" s="56" t="str">
        <x:v>grade</x:v>
      </x:c>
      <x:c r="B4" s="57" t="str">
        <x:v>consent</x:v>
      </x:c>
      <x:c r="C4" s="57" t="str">
        <x:v>session_mode</x:v>
      </x:c>
      <x:c r="D4" s="57" t="str">
        <x:v>task_family</x:v>
      </x:c>
      <x:c r="E4" s="57" t="str">
        <x:v>audio_quality</x:v>
      </x:c>
      <x:c r="F4" s="57" t="str">
        <x:v>support_label</x:v>
      </x:c>
      <x:c r="G4" s="57" t="str">
        <x:v>confidence_1_to_5</x:v>
      </x:c>
      <x:c r="H4" s="57" t="str">
        <x:v>review_state</x:v>
      </x:c>
      <x:c r="I4" s="57" t="str">
        <x:v>session_status</x:v>
      </x:c>
      <x:c r="J4" s="57" t="str">
        <x:v>boolean_flag</x:v>
      </x:c>
      <x:c r="K4" s="58" t="str">
        <x:v>training_support_label</x:v>
      </x:c>
    </x:row>
    <x:row r="5">
      <x:c r="A5" s="59" t="n">
        <x:v>2</x:v>
      </x:c>
      <x:c r="B5" s="60" t="str">
        <x:v>yes</x:v>
      </x:c>
      <x:c r="C5" s="60" t="str">
        <x:v>identification</x:v>
      </x:c>
      <x:c r="D5" s="60" t="str">
        <x:v>word</x:v>
      </x:c>
      <x:c r="E5" s="60" t="str">
        <x:v>excellent</x:v>
      </x:c>
      <x:c r="F5" s="60" t="str">
        <x:v>low_support</x:v>
      </x:c>
      <x:c r="G5" s="60" t="n">
        <x:v>1</x:v>
      </x:c>
      <x:c r="H5" s="60" t="str">
        <x:v>pending</x:v>
      </x:c>
      <x:c r="I5" s="60" t="str">
        <x:v>started</x:v>
      </x:c>
      <x:c r="J5" s="60" t="n">
        <x:v>0</x:v>
      </x:c>
      <x:c r="K5" s="61" t="str">
        <x:v>low_support</x:v>
      </x:c>
    </x:row>
    <x:row r="6">
      <x:c r="A6" s="59" t="n">
        <x:v>3</x:v>
      </x:c>
      <x:c r="B6" s="60" t="str">
        <x:v>no</x:v>
      </x:c>
      <x:c r="C6" s="60" t="str">
        <x:v>improvement</x:v>
      </x:c>
      <x:c r="D6" s="60" t="str">
        <x:v>pseudoword</x:v>
      </x:c>
      <x:c r="E6" s="60" t="str">
        <x:v>good</x:v>
      </x:c>
      <x:c r="F6" s="60" t="str">
        <x:v>medium_support</x:v>
      </x:c>
      <x:c r="G6" s="60" t="n">
        <x:v>2</x:v>
      </x:c>
      <x:c r="H6" s="60" t="str">
        <x:v>reviewed</x:v>
      </x:c>
      <x:c r="I6" s="60" t="str">
        <x:v>in_progress</x:v>
      </x:c>
      <x:c r="J6" s="60" t="n">
        <x:v>1</x:v>
      </x:c>
      <x:c r="K6" s="61" t="str">
        <x:v>medium_support</x:v>
      </x:c>
    </x:row>
    <x:row r="7">
      <x:c r="A7" s="59" t="n">
        <x:v>4</x:v>
      </x:c>
      <x:c r="B7" s="60"/>
      <x:c r="C7" s="60"/>
      <x:c r="D7" s="60" t="str">
        <x:v>sentence</x:v>
      </x:c>
      <x:c r="E7" s="60" t="str">
        <x:v>fair</x:v>
      </x:c>
      <x:c r="F7" s="60" t="str">
        <x:v>high_support</x:v>
      </x:c>
      <x:c r="G7" s="60" t="n">
        <x:v>3</x:v>
      </x:c>
      <x:c r="H7" s="60" t="str">
        <x:v>adjudicated</x:v>
      </x:c>
      <x:c r="I7" s="60" t="str">
        <x:v>completed</x:v>
      </x:c>
      <x:c r="J7" s="60"/>
      <x:c r="K7" s="61" t="str">
        <x:v>high_support</x:v>
      </x:c>
    </x:row>
    <x:row r="8">
      <x:c r="A8" s="59" t="n">
        <x:v>5</x:v>
      </x:c>
      <x:c r="B8" s="60"/>
      <x:c r="C8" s="60"/>
      <x:c r="D8" s="60" t="str">
        <x:v>minimal_pair</x:v>
      </x:c>
      <x:c r="E8" s="60" t="str">
        <x:v>poor</x:v>
      </x:c>
      <x:c r="F8" s="60" t="str">
        <x:v>needs_review</x:v>
      </x:c>
      <x:c r="G8" s="60" t="n">
        <x:v>4</x:v>
      </x:c>
      <x:c r="H8" s="60" t="str">
        <x:v>excluded</x:v>
      </x:c>
      <x:c r="I8" s="60" t="str">
        <x:v>abandoned</x:v>
      </x:c>
      <x:c r="J8" s="60"/>
      <x:c r="K8" s="61"/>
    </x:row>
    <x:row r="9">
      <x:c r="A9" s="62"/>
      <x:c r="B9" s="63"/>
      <x:c r="C9" s="63"/>
      <x:c r="D9" s="63"/>
      <x:c r="E9" s="63" t="str">
        <x:v>invalid</x:v>
      </x:c>
      <x:c r="F9" s="63"/>
      <x:c r="G9" s="63" t="n">
        <x:v>5</x:v>
      </x:c>
      <x:c r="H9" s="63"/>
      <x:c r="I9" s="63"/>
      <x:c r="J9" s="63"/>
      <x:c r="K9" s="64"/>
    </x:row>
  </x:sheetData>
  <x:mergeCells>
    <x:mergeCell ref="A1:K1"/>
    <x:mergeCell ref="A2:K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  <x:selection pane="bottomLeft" activeCell="A9" sqref="A9"/>
    </x:sheetView>
  </x:sheetViews>
  <x:sheetFormatPr defaultRowHeight="15"/>
  <x:cols>
    <x:col min="1" max="1" width="22" hidden="0" customWidth="1"/>
    <x:col min="2" max="2" width="42" hidden="0" customWidth="1"/>
    <x:col min="3" max="3" width="18" hidden="0" customWidth="1"/>
    <x:col min="4" max="4" width="16" hidden="0" customWidth="1"/>
    <x:col min="5" max="5" width="42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</x:cols>
  <x:sheetData>
    <x:row r="1" ht="30" customHeight="1">
      <x:c r="A1" s="3" t="str">
        <x:v>Quality Checks</x:v>
      </x:c>
      <x:c r="B1" s="3"/>
      <x:c r="C1" s="3"/>
      <x:c r="D1" s="3"/>
      <x:c r="E1" s="3"/>
    </x:row>
    <x:row r="2" ht="32" customHeight="1">
      <x:c r="A2" s="7" t="str">
        <x:v>Live formulas evaluate real-entry sheets. A new template correctly starts as TEMPLATE EMPTY.</x:v>
      </x:c>
      <x:c r="B2" s="7"/>
      <x:c r="C2" s="7"/>
      <x:c r="D2" s="7"/>
      <x:c r="E2" s="7"/>
    </x:row>
    <x:row r="4" ht="34" customHeight="1">
      <x:c r="A4" s="108" t="str">
        <x:v>Training readiness</x:v>
      </x:c>
      <x:c r="B4" s="108"/>
      <x:c r="C4" s="110" t="str">
        <x:f>IF(SUMPRODUCT(--((('Session Training Data'!$A$5:$A$204&lt;&gt;"")+('Session Training Data'!$AF$5:$AF$204&lt;&gt;"")+('Session Training Data'!$AA$5:$AA$204&lt;&gt;"")+('Session Training Data'!$B$5:$B$204&lt;&gt;""))&gt;0))=0,"TEMPLATE EMPTY",IF(AND(D13="PASS",D14="PASS",D15="PASS",D16="PASS",D17="PASS",D18="PASS",D19="PASS",D20="PASS",D21="PASS",D22="PASS",D23="PASS",D24="PASS",D25="PASS",D26="PASS",D27="PASS",D28="PASS",D29="PASS",D30="PASS",D31="PASS",D32="PASS",D33="PASS",D34="PASS",D35="PASS",D36="PASS",D37="PASS",D44="PASS",D45="PASS",D46="PASS",D47="PASS"),"READY","NOT READY"))</x:f>
        <x:v>TEMPLATE EMPTY</x:v>
      </x:c>
      <x:c r="D4" s="110"/>
      <x:c r="E4" s="110"/>
    </x:row>
    <x:row r="8" ht="46" customHeight="1">
      <x:c r="A8" s="54" t="str">
        <x:v>area</x:v>
      </x:c>
      <x:c r="B8" s="54" t="str">
        <x:v>quality_check</x:v>
      </x:c>
      <x:c r="C8" s="54" t="str">
        <x:v>formula_result</x:v>
      </x:c>
      <x:c r="D8" s="54" t="str">
        <x:v>status</x:v>
      </x:c>
      <x:c r="E8" s="54" t="str">
        <x:v>acceptance_rule</x:v>
      </x:c>
      <x:c r="G8" s="75" t="str">
        <x:v>session_participant_fk_gap</x:v>
      </x:c>
      <x:c r="H8" s="75" t="str">
        <x:v>attempt_session_fk_gap</x:v>
      </x:c>
      <x:c r="I8" s="75" t="str">
        <x:v>session_without_expert_label</x:v>
      </x:c>
      <x:c r="J8" s="75" t="str">
        <x:v>duplicate_expert_label_session</x:v>
      </x:c>
      <x:c r="K8" s="75" t="str">
        <x:v>label_session_fk_gap</x:v>
      </x:c>
      <x:c r="L8" s="75" t="str">
        <x:v>training_session_fk_gap</x:v>
      </x:c>
      <x:c r="M8" s="75" t="str">
        <x:v>training_participant_fk_gap</x:v>
      </x:c>
      <x:c r="N8" s="75" t="str">
        <x:v>training_session_participant_mismatch</x:v>
      </x:c>
      <x:c r="O8" s="75" t="str">
        <x:v>training_consent_gap</x:v>
      </x:c>
      <x:c r="P8" s="75" t="str">
        <x:v>training_unique_first_occurrence</x:v>
      </x:c>
      <x:c r="Q8" s="75" t="str">
        <x:v>duplicate_participant_row</x:v>
      </x:c>
      <x:c r="R8" s="75" t="str">
        <x:v>duplicate_session_row</x:v>
      </x:c>
      <x:c r="S8" s="75" t="str">
        <x:v>duplicate_attempt_row</x:v>
      </x:c>
      <x:c r="T8" s="75" t="str">
        <x:v>duplicate_training_session_row</x:v>
      </x:c>
    </x:row>
    <x:row r="9" ht="25" customHeight="1">
      <x:c r="A9" s="111" t="str">
        <x:v>Volume</x:v>
      </x:c>
      <x:c r="B9" s="107" t="str">
        <x:v>Participant rows entered</x:v>
      </x:c>
      <x:c r="C9" s="111" t="n">
        <x:f>COUNTA('Participants'!$A$5:$A$204)</x:f>
        <x:v>0</x:v>
      </x:c>
      <x:c r="D9" s="111" t="str">
        <x:f>"INFO"</x:f>
        <x:v>INFO</x:v>
      </x:c>
      <x:c r="E9" s="107" t="str">
        <x:v>Informational</x:v>
      </x:c>
      <x:c r="G9" s="112" t="n">
        <x:f>IF('Sessions'!B5="",0,IF(COUNTIF('Participants'!$A$5:$A$204,'Sessions'!B5)=0,1,0))</x:f>
        <x:v>0</x:v>
      </x:c>
      <x:c r="H9" s="112" t="n">
        <x:f>IF('Attempts'!B5="",0,IF(COUNTIF('Sessions'!$A$5:$A$204,'Attempts'!B5)=0,1,0))</x:f>
        <x:v>0</x:v>
      </x:c>
      <x:c r="I9" s="112" t="n">
        <x:f>IF('Sessions'!A5="",0,IF(COUNTIF('Expert Labels'!$B$5:$B$204,'Sessions'!A5)=0,1,0))</x:f>
        <x:v>0</x:v>
      </x:c>
      <x:c r="J9" s="112" t="n">
        <x:f>IF('Expert Labels'!B5="",0,IF(COUNTIF('Expert Labels'!$B$5:$B$204,'Expert Labels'!B5)&gt;1,1,0))</x:f>
        <x:v>0</x:v>
      </x:c>
      <x:c r="K9" s="112" t="n">
        <x:f>IF('Expert Labels'!B5="",0,IF(COUNTIF('Sessions'!$A$5:$A$204,'Expert Labels'!B5)=0,1,0))</x:f>
        <x:v>0</x:v>
      </x:c>
      <x:c r="L9" s="112" t="n">
        <x:f>IF('Session Training Data'!A5="",0,IF(COUNTIF('Sessions'!$A$5:$A$204,'Session Training Data'!A5)=0,1,0))</x:f>
        <x:v>0</x:v>
      </x:c>
      <x:c r="M9" s="112" t="n">
        <x:f>IF('Session Training Data'!AF5="",0,IF(COUNTIF('Participants'!$A$5:$A$204,'Session Training Data'!AF5)=0,1,0))</x:f>
        <x:v>0</x:v>
      </x:c>
      <x:c r="N9" s="112" t="n">
        <x:f>IF(OR('Session Training Data'!A5="",'Session Training Data'!AF5=""),0,IF(COUNTIFS('Sessions'!$A$5:$A$204,'Session Training Data'!A5,'Sessions'!$B$5:$B$204,'Session Training Data'!AF5)=0,1,0))</x:f>
        <x:v>0</x:v>
      </x:c>
      <x:c r="O9" s="112" t="n">
        <x:f>IF('Session Training Data'!AF5="",0,IF(COUNTIFS('Participants'!$A$5:$A$204,'Session Training Data'!AF5,'Participants'!$D$5:$D$204,"yes")=0,1,0))</x:f>
        <x:v>0</x:v>
      </x:c>
      <x:c r="P9" s="112" t="n">
        <x:f>IF('Session Training Data'!AF5="",0,IF(COUNTIF('Session Training Data'!$AF$5:AF5,'Session Training Data'!AF5)=1,1,0))</x:f>
        <x:v>0</x:v>
      </x:c>
      <x:c r="Q9" s="112" t="n">
        <x:f>IF('Participants'!A5="",0,IF(COUNTIF('Participants'!$A$5:$A$204,'Participants'!A5)&gt;1,1,0))</x:f>
        <x:v>0</x:v>
      </x:c>
      <x:c r="R9" s="112" t="n">
        <x:f>IF('Sessions'!A5="",0,IF(COUNTIF('Sessions'!$A$5:$A$204,'Sessions'!A5)&gt;1,1,0))</x:f>
        <x:v>0</x:v>
      </x:c>
      <x:c r="S9" s="112" t="n">
        <x:f>IF('Attempts'!A5="",0,IF(COUNTIF('Attempts'!$A$5:$A$204,'Attempts'!A5)&gt;1,1,0))</x:f>
        <x:v>0</x:v>
      </x:c>
      <x:c r="T9" s="112" t="n">
        <x:f>IF('Session Training Data'!A5="",0,IF(COUNTIF('Session Training Data'!$A$5:$A$204,'Session Training Data'!A5)&gt;1,1,0))</x:f>
        <x:v>0</x:v>
      </x:c>
    </x:row>
    <x:row r="10" ht="25" customHeight="1">
      <x:c r="A10" s="111" t="str">
        <x:v>Volume</x:v>
      </x:c>
      <x:c r="B10" s="107" t="str">
        <x:v>Session rows entered</x:v>
      </x:c>
      <x:c r="C10" s="111" t="n">
        <x:f>COUNTA('Sessions'!$A$5:$A$204)</x:f>
        <x:v>0</x:v>
      </x:c>
      <x:c r="D10" s="111" t="str">
        <x:f>"INFO"</x:f>
        <x:v>INFO</x:v>
      </x:c>
      <x:c r="E10" s="107" t="str">
        <x:v>Informational</x:v>
      </x:c>
      <x:c r="G10" s="112" t="n">
        <x:f>IF('Sessions'!B6="",0,IF(COUNTIF('Participants'!$A$5:$A$204,'Sessions'!B6)=0,1,0))</x:f>
        <x:v>0</x:v>
      </x:c>
      <x:c r="H10" s="112" t="n">
        <x:f>IF('Attempts'!B6="",0,IF(COUNTIF('Sessions'!$A$5:$A$204,'Attempts'!B6)=0,1,0))</x:f>
        <x:v>0</x:v>
      </x:c>
      <x:c r="I10" s="112" t="n">
        <x:f>IF('Sessions'!A6="",0,IF(COUNTIF('Expert Labels'!$B$5:$B$204,'Sessions'!A6)=0,1,0))</x:f>
        <x:v>0</x:v>
      </x:c>
      <x:c r="J10" s="112" t="n">
        <x:f>IF('Expert Labels'!B6="",0,IF(COUNTIF('Expert Labels'!$B$5:$B$204,'Expert Labels'!B6)&gt;1,1,0))</x:f>
        <x:v>0</x:v>
      </x:c>
      <x:c r="K10" s="112" t="n">
        <x:f>IF('Expert Labels'!B6="",0,IF(COUNTIF('Sessions'!$A$5:$A$204,'Expert Labels'!B6)=0,1,0))</x:f>
        <x:v>0</x:v>
      </x:c>
      <x:c r="L10" s="112" t="n">
        <x:f>IF('Session Training Data'!A6="",0,IF(COUNTIF('Sessions'!$A$5:$A$204,'Session Training Data'!A6)=0,1,0))</x:f>
        <x:v>0</x:v>
      </x:c>
      <x:c r="M10" s="112" t="n">
        <x:f>IF('Session Training Data'!AF6="",0,IF(COUNTIF('Participants'!$A$5:$A$204,'Session Training Data'!AF6)=0,1,0))</x:f>
        <x:v>0</x:v>
      </x:c>
      <x:c r="N10" s="112" t="n">
        <x:f>IF(OR('Session Training Data'!A6="",'Session Training Data'!AF6=""),0,IF(COUNTIFS('Sessions'!$A$5:$A$204,'Session Training Data'!A6,'Sessions'!$B$5:$B$204,'Session Training Data'!AF6)=0,1,0))</x:f>
        <x:v>0</x:v>
      </x:c>
      <x:c r="O10" s="112" t="n">
        <x:f>IF('Session Training Data'!AF6="",0,IF(COUNTIFS('Participants'!$A$5:$A$204,'Session Training Data'!AF6,'Participants'!$D$5:$D$204,"yes")=0,1,0))</x:f>
        <x:v>0</x:v>
      </x:c>
      <x:c r="P10" s="112" t="n">
        <x:f>IF('Session Training Data'!AF6="",0,IF(COUNTIF('Session Training Data'!$AF$5:AF6,'Session Training Data'!AF6)=1,1,0))</x:f>
        <x:v>0</x:v>
      </x:c>
      <x:c r="Q10" s="112" t="n">
        <x:f>IF('Participants'!A6="",0,IF(COUNTIF('Participants'!$A$5:$A$204,'Participants'!A6)&gt;1,1,0))</x:f>
        <x:v>0</x:v>
      </x:c>
      <x:c r="R10" s="112" t="n">
        <x:f>IF('Sessions'!A6="",0,IF(COUNTIF('Sessions'!$A$5:$A$204,'Sessions'!A6)&gt;1,1,0))</x:f>
        <x:v>0</x:v>
      </x:c>
      <x:c r="S10" s="112" t="n">
        <x:f>IF('Attempts'!A6="",0,IF(COUNTIF('Attempts'!$A$5:$A$204,'Attempts'!A6)&gt;1,1,0))</x:f>
        <x:v>0</x:v>
      </x:c>
      <x:c r="T10" s="112" t="n">
        <x:f>IF('Session Training Data'!A6="",0,IF(COUNTIF('Session Training Data'!$A$5:$A$204,'Session Training Data'!A6)&gt;1,1,0))</x:f>
        <x:v>0</x:v>
      </x:c>
    </x:row>
    <x:row r="11" ht="25" customHeight="1">
      <x:c r="A11" s="111" t="str">
        <x:v>Volume</x:v>
      </x:c>
      <x:c r="B11" s="107" t="str">
        <x:v>Attempt rows entered</x:v>
      </x:c>
      <x:c r="C11" s="111" t="n">
        <x:f>COUNTA('Attempts'!$A$5:$A$204)</x:f>
        <x:v>0</x:v>
      </x:c>
      <x:c r="D11" s="111" t="str">
        <x:f>"INFO"</x:f>
        <x:v>INFO</x:v>
      </x:c>
      <x:c r="E11" s="107" t="str">
        <x:v>Informational</x:v>
      </x:c>
      <x:c r="G11" s="112" t="n">
        <x:f>IF('Sessions'!B7="",0,IF(COUNTIF('Participants'!$A$5:$A$204,'Sessions'!B7)=0,1,0))</x:f>
        <x:v>0</x:v>
      </x:c>
      <x:c r="H11" s="112" t="n">
        <x:f>IF('Attempts'!B7="",0,IF(COUNTIF('Sessions'!$A$5:$A$204,'Attempts'!B7)=0,1,0))</x:f>
        <x:v>0</x:v>
      </x:c>
      <x:c r="I11" s="112" t="n">
        <x:f>IF('Sessions'!A7="",0,IF(COUNTIF('Expert Labels'!$B$5:$B$204,'Sessions'!A7)=0,1,0))</x:f>
        <x:v>0</x:v>
      </x:c>
      <x:c r="J11" s="112" t="n">
        <x:f>IF('Expert Labels'!B7="",0,IF(COUNTIF('Expert Labels'!$B$5:$B$204,'Expert Labels'!B7)&gt;1,1,0))</x:f>
        <x:v>0</x:v>
      </x:c>
      <x:c r="K11" s="112" t="n">
        <x:f>IF('Expert Labels'!B7="",0,IF(COUNTIF('Sessions'!$A$5:$A$204,'Expert Labels'!B7)=0,1,0))</x:f>
        <x:v>0</x:v>
      </x:c>
      <x:c r="L11" s="112" t="n">
        <x:f>IF('Session Training Data'!A7="",0,IF(COUNTIF('Sessions'!$A$5:$A$204,'Session Training Data'!A7)=0,1,0))</x:f>
        <x:v>0</x:v>
      </x:c>
      <x:c r="M11" s="112" t="n">
        <x:f>IF('Session Training Data'!AF7="",0,IF(COUNTIF('Participants'!$A$5:$A$204,'Session Training Data'!AF7)=0,1,0))</x:f>
        <x:v>0</x:v>
      </x:c>
      <x:c r="N11" s="112" t="n">
        <x:f>IF(OR('Session Training Data'!A7="",'Session Training Data'!AF7=""),0,IF(COUNTIFS('Sessions'!$A$5:$A$204,'Session Training Data'!A7,'Sessions'!$B$5:$B$204,'Session Training Data'!AF7)=0,1,0))</x:f>
        <x:v>0</x:v>
      </x:c>
      <x:c r="O11" s="112" t="n">
        <x:f>IF('Session Training Data'!AF7="",0,IF(COUNTIFS('Participants'!$A$5:$A$204,'Session Training Data'!AF7,'Participants'!$D$5:$D$204,"yes")=0,1,0))</x:f>
        <x:v>0</x:v>
      </x:c>
      <x:c r="P11" s="112" t="n">
        <x:f>IF('Session Training Data'!AF7="",0,IF(COUNTIF('Session Training Data'!$AF$5:AF7,'Session Training Data'!AF7)=1,1,0))</x:f>
        <x:v>0</x:v>
      </x:c>
      <x:c r="Q11" s="112" t="n">
        <x:f>IF('Participants'!A7="",0,IF(COUNTIF('Participants'!$A$5:$A$204,'Participants'!A7)&gt;1,1,0))</x:f>
        <x:v>0</x:v>
      </x:c>
      <x:c r="R11" s="112" t="n">
        <x:f>IF('Sessions'!A7="",0,IF(COUNTIF('Sessions'!$A$5:$A$204,'Sessions'!A7)&gt;1,1,0))</x:f>
        <x:v>0</x:v>
      </x:c>
      <x:c r="S11" s="112" t="n">
        <x:f>IF('Attempts'!A7="",0,IF(COUNTIF('Attempts'!$A$5:$A$204,'Attempts'!A7)&gt;1,1,0))</x:f>
        <x:v>0</x:v>
      </x:c>
      <x:c r="T11" s="112" t="n">
        <x:f>IF('Session Training Data'!A7="",0,IF(COUNTIF('Session Training Data'!$A$5:$A$204,'Session Training Data'!A7)&gt;1,1,0))</x:f>
        <x:v>0</x:v>
      </x:c>
    </x:row>
    <x:row r="12" ht="25" customHeight="1">
      <x:c r="A12" s="111" t="str">
        <x:v>Volume</x:v>
      </x:c>
      <x:c r="B12" s="107" t="str">
        <x:v>Expert label rows entered</x:v>
      </x:c>
      <x:c r="C12" s="111" t="n">
        <x:f>COUNTA('Expert Labels'!$B$5:$B$204)</x:f>
        <x:v>0</x:v>
      </x:c>
      <x:c r="D12" s="111" t="str">
        <x:f>"INFO"</x:f>
        <x:v>INFO</x:v>
      </x:c>
      <x:c r="E12" s="107" t="str">
        <x:v>Informational</x:v>
      </x:c>
      <x:c r="G12" s="112" t="n">
        <x:f>IF('Sessions'!B8="",0,IF(COUNTIF('Participants'!$A$5:$A$204,'Sessions'!B8)=0,1,0))</x:f>
        <x:v>0</x:v>
      </x:c>
      <x:c r="H12" s="112" t="n">
        <x:f>IF('Attempts'!B8="",0,IF(COUNTIF('Sessions'!$A$5:$A$204,'Attempts'!B8)=0,1,0))</x:f>
        <x:v>0</x:v>
      </x:c>
      <x:c r="I12" s="112" t="n">
        <x:f>IF('Sessions'!A8="",0,IF(COUNTIF('Expert Labels'!$B$5:$B$204,'Sessions'!A8)=0,1,0))</x:f>
        <x:v>0</x:v>
      </x:c>
      <x:c r="J12" s="112" t="n">
        <x:f>IF('Expert Labels'!B8="",0,IF(COUNTIF('Expert Labels'!$B$5:$B$204,'Expert Labels'!B8)&gt;1,1,0))</x:f>
        <x:v>0</x:v>
      </x:c>
      <x:c r="K12" s="112" t="n">
        <x:f>IF('Expert Labels'!B8="",0,IF(COUNTIF('Sessions'!$A$5:$A$204,'Expert Labels'!B8)=0,1,0))</x:f>
        <x:v>0</x:v>
      </x:c>
      <x:c r="L12" s="112" t="n">
        <x:f>IF('Session Training Data'!A8="",0,IF(COUNTIF('Sessions'!$A$5:$A$204,'Session Training Data'!A8)=0,1,0))</x:f>
        <x:v>0</x:v>
      </x:c>
      <x:c r="M12" s="112" t="n">
        <x:f>IF('Session Training Data'!AF8="",0,IF(COUNTIF('Participants'!$A$5:$A$204,'Session Training Data'!AF8)=0,1,0))</x:f>
        <x:v>0</x:v>
      </x:c>
      <x:c r="N12" s="112" t="n">
        <x:f>IF(OR('Session Training Data'!A8="",'Session Training Data'!AF8=""),0,IF(COUNTIFS('Sessions'!$A$5:$A$204,'Session Training Data'!A8,'Sessions'!$B$5:$B$204,'Session Training Data'!AF8)=0,1,0))</x:f>
        <x:v>0</x:v>
      </x:c>
      <x:c r="O12" s="112" t="n">
        <x:f>IF('Session Training Data'!AF8="",0,IF(COUNTIFS('Participants'!$A$5:$A$204,'Session Training Data'!AF8,'Participants'!$D$5:$D$204,"yes")=0,1,0))</x:f>
        <x:v>0</x:v>
      </x:c>
      <x:c r="P12" s="112" t="n">
        <x:f>IF('Session Training Data'!AF8="",0,IF(COUNTIF('Session Training Data'!$AF$5:AF8,'Session Training Data'!AF8)=1,1,0))</x:f>
        <x:v>0</x:v>
      </x:c>
      <x:c r="Q12" s="112" t="n">
        <x:f>IF('Participants'!A8="",0,IF(COUNTIF('Participants'!$A$5:$A$204,'Participants'!A8)&gt;1,1,0))</x:f>
        <x:v>0</x:v>
      </x:c>
      <x:c r="R12" s="112" t="n">
        <x:f>IF('Sessions'!A8="",0,IF(COUNTIF('Sessions'!$A$5:$A$204,'Sessions'!A8)&gt;1,1,0))</x:f>
        <x:v>0</x:v>
      </x:c>
      <x:c r="S12" s="112" t="n">
        <x:f>IF('Attempts'!A8="",0,IF(COUNTIF('Attempts'!$A$5:$A$204,'Attempts'!A8)&gt;1,1,0))</x:f>
        <x:v>0</x:v>
      </x:c>
      <x:c r="T12" s="112" t="n">
        <x:f>IF('Session Training Data'!A8="",0,IF(COUNTIF('Session Training Data'!$A$5:$A$204,'Session Training Data'!A8)&gt;1,1,0))</x:f>
        <x:v>0</x:v>
      </x:c>
    </x:row>
    <x:row r="13" ht="25" customHeight="1">
      <x:c r="A13" s="111" t="str">
        <x:v>Training</x:v>
      </x:c>
      <x:c r="B13" s="107" t="str">
        <x:v>Populated training rows</x:v>
      </x:c>
      <x:c r="C13" s="111" t="n">
        <x:f>SUMPRODUCT(--((('Session Training Data'!$A$5:$A$204&lt;&gt;"")+('Session Training Data'!$AF$5:$AF$204&lt;&gt;"")+('Session Training Data'!$AA$5:$AA$204&lt;&gt;"")+('Session Training Data'!$B$5:$B$204&lt;&gt;""))&gt;0))</x:f>
        <x:v>0</x:v>
      </x:c>
      <x:c r="D13" s="111" t="str">
        <x:f>IF(C13&gt;=30,"PASS","ACTION")</x:f>
        <x:v>ACTION</x:v>
      </x:c>
      <x:c r="E13" s="107" t="str">
        <x:v>At least 30 populated rows</x:v>
      </x:c>
      <x:c r="G13" s="112" t="n">
        <x:f>IF('Sessions'!B9="",0,IF(COUNTIF('Participants'!$A$5:$A$204,'Sessions'!B9)=0,1,0))</x:f>
        <x:v>0</x:v>
      </x:c>
      <x:c r="H13" s="112" t="n">
        <x:f>IF('Attempts'!B9="",0,IF(COUNTIF('Sessions'!$A$5:$A$204,'Attempts'!B9)=0,1,0))</x:f>
        <x:v>0</x:v>
      </x:c>
      <x:c r="I13" s="112" t="n">
        <x:f>IF('Sessions'!A9="",0,IF(COUNTIF('Expert Labels'!$B$5:$B$204,'Sessions'!A9)=0,1,0))</x:f>
        <x:v>0</x:v>
      </x:c>
      <x:c r="J13" s="112" t="n">
        <x:f>IF('Expert Labels'!B9="",0,IF(COUNTIF('Expert Labels'!$B$5:$B$204,'Expert Labels'!B9)&gt;1,1,0))</x:f>
        <x:v>0</x:v>
      </x:c>
      <x:c r="K13" s="112" t="n">
        <x:f>IF('Expert Labels'!B9="",0,IF(COUNTIF('Sessions'!$A$5:$A$204,'Expert Labels'!B9)=0,1,0))</x:f>
        <x:v>0</x:v>
      </x:c>
      <x:c r="L13" s="112" t="n">
        <x:f>IF('Session Training Data'!A9="",0,IF(COUNTIF('Sessions'!$A$5:$A$204,'Session Training Data'!A9)=0,1,0))</x:f>
        <x:v>0</x:v>
      </x:c>
      <x:c r="M13" s="112" t="n">
        <x:f>IF('Session Training Data'!AF9="",0,IF(COUNTIF('Participants'!$A$5:$A$204,'Session Training Data'!AF9)=0,1,0))</x:f>
        <x:v>0</x:v>
      </x:c>
      <x:c r="N13" s="112" t="n">
        <x:f>IF(OR('Session Training Data'!A9="",'Session Training Data'!AF9=""),0,IF(COUNTIFS('Sessions'!$A$5:$A$204,'Session Training Data'!A9,'Sessions'!$B$5:$B$204,'Session Training Data'!AF9)=0,1,0))</x:f>
        <x:v>0</x:v>
      </x:c>
      <x:c r="O13" s="112" t="n">
        <x:f>IF('Session Training Data'!AF9="",0,IF(COUNTIFS('Participants'!$A$5:$A$204,'Session Training Data'!AF9,'Participants'!$D$5:$D$204,"yes")=0,1,0))</x:f>
        <x:v>0</x:v>
      </x:c>
      <x:c r="P13" s="112" t="n">
        <x:f>IF('Session Training Data'!AF9="",0,IF(COUNTIF('Session Training Data'!$AF$5:AF9,'Session Training Data'!AF9)=1,1,0))</x:f>
        <x:v>0</x:v>
      </x:c>
      <x:c r="Q13" s="112" t="n">
        <x:f>IF('Participants'!A9="",0,IF(COUNTIF('Participants'!$A$5:$A$204,'Participants'!A9)&gt;1,1,0))</x:f>
        <x:v>0</x:v>
      </x:c>
      <x:c r="R13" s="112" t="n">
        <x:f>IF('Sessions'!A9="",0,IF(COUNTIF('Sessions'!$A$5:$A$204,'Sessions'!A9)&gt;1,1,0))</x:f>
        <x:v>0</x:v>
      </x:c>
      <x:c r="S13" s="112" t="n">
        <x:f>IF('Attempts'!A9="",0,IF(COUNTIF('Attempts'!$A$5:$A$204,'Attempts'!A9)&gt;1,1,0))</x:f>
        <x:v>0</x:v>
      </x:c>
      <x:c r="T13" s="112" t="n">
        <x:f>IF('Session Training Data'!A9="",0,IF(COUNTIF('Session Training Data'!$A$5:$A$204,'Session Training Data'!A9)&gt;1,1,0))</x:f>
        <x:v>0</x:v>
      </x:c>
    </x:row>
    <x:row r="14" ht="25" customHeight="1">
      <x:c r="A14" s="111" t="str">
        <x:v>Identifiers</x:v>
      </x:c>
      <x:c r="B14" s="107" t="str">
        <x:v>Missing participant codes</x:v>
      </x:c>
      <x:c r="C14" s="111" t="n">
        <x:f>COUNTIFS('Participants'!$B$5:$B$204,"&lt;&gt;",'Participants'!$A$5:$A$204,"")</x:f>
        <x:v>0</x:v>
      </x:c>
      <x:c r="D14" s="111" t="str">
        <x:f>IF(C14=0,"PASS","ACTION")</x:f>
        <x:v>PASS</x:v>
      </x:c>
      <x:c r="E14" s="107" t="str">
        <x:v>Must be 0</x:v>
      </x:c>
      <x:c r="G14" s="112" t="n">
        <x:f>IF('Sessions'!B10="",0,IF(COUNTIF('Participants'!$A$5:$A$204,'Sessions'!B10)=0,1,0))</x:f>
        <x:v>0</x:v>
      </x:c>
      <x:c r="H14" s="112" t="n">
        <x:f>IF('Attempts'!B10="",0,IF(COUNTIF('Sessions'!$A$5:$A$204,'Attempts'!B10)=0,1,0))</x:f>
        <x:v>0</x:v>
      </x:c>
      <x:c r="I14" s="112" t="n">
        <x:f>IF('Sessions'!A10="",0,IF(COUNTIF('Expert Labels'!$B$5:$B$204,'Sessions'!A10)=0,1,0))</x:f>
        <x:v>0</x:v>
      </x:c>
      <x:c r="J14" s="112" t="n">
        <x:f>IF('Expert Labels'!B10="",0,IF(COUNTIF('Expert Labels'!$B$5:$B$204,'Expert Labels'!B10)&gt;1,1,0))</x:f>
        <x:v>0</x:v>
      </x:c>
      <x:c r="K14" s="112" t="n">
        <x:f>IF('Expert Labels'!B10="",0,IF(COUNTIF('Sessions'!$A$5:$A$204,'Expert Labels'!B10)=0,1,0))</x:f>
        <x:v>0</x:v>
      </x:c>
      <x:c r="L14" s="112" t="n">
        <x:f>IF('Session Training Data'!A10="",0,IF(COUNTIF('Sessions'!$A$5:$A$204,'Session Training Data'!A10)=0,1,0))</x:f>
        <x:v>0</x:v>
      </x:c>
      <x:c r="M14" s="112" t="n">
        <x:f>IF('Session Training Data'!AF10="",0,IF(COUNTIF('Participants'!$A$5:$A$204,'Session Training Data'!AF10)=0,1,0))</x:f>
        <x:v>0</x:v>
      </x:c>
      <x:c r="N14" s="112" t="n">
        <x:f>IF(OR('Session Training Data'!A10="",'Session Training Data'!AF10=""),0,IF(COUNTIFS('Sessions'!$A$5:$A$204,'Session Training Data'!A10,'Sessions'!$B$5:$B$204,'Session Training Data'!AF10)=0,1,0))</x:f>
        <x:v>0</x:v>
      </x:c>
      <x:c r="O14" s="112" t="n">
        <x:f>IF('Session Training Data'!AF10="",0,IF(COUNTIFS('Participants'!$A$5:$A$204,'Session Training Data'!AF10,'Participants'!$D$5:$D$204,"yes")=0,1,0))</x:f>
        <x:v>0</x:v>
      </x:c>
      <x:c r="P14" s="112" t="n">
        <x:f>IF('Session Training Data'!AF10="",0,IF(COUNTIF('Session Training Data'!$AF$5:AF10,'Session Training Data'!AF10)=1,1,0))</x:f>
        <x:v>0</x:v>
      </x:c>
      <x:c r="Q14" s="112" t="n">
        <x:f>IF('Participants'!A10="",0,IF(COUNTIF('Participants'!$A$5:$A$204,'Participants'!A10)&gt;1,1,0))</x:f>
        <x:v>0</x:v>
      </x:c>
      <x:c r="R14" s="112" t="n">
        <x:f>IF('Sessions'!A10="",0,IF(COUNTIF('Sessions'!$A$5:$A$204,'Sessions'!A10)&gt;1,1,0))</x:f>
        <x:v>0</x:v>
      </x:c>
      <x:c r="S14" s="112" t="n">
        <x:f>IF('Attempts'!A10="",0,IF(COUNTIF('Attempts'!$A$5:$A$204,'Attempts'!A10)&gt;1,1,0))</x:f>
        <x:v>0</x:v>
      </x:c>
      <x:c r="T14" s="112" t="n">
        <x:f>IF('Session Training Data'!A10="",0,IF(COUNTIF('Session Training Data'!$A$5:$A$204,'Session Training Data'!A10)&gt;1,1,0))</x:f>
        <x:v>0</x:v>
      </x:c>
    </x:row>
    <x:row r="15" ht="25" customHeight="1">
      <x:c r="A15" s="111" t="str">
        <x:v>Identifiers</x:v>
      </x:c>
      <x:c r="B15" s="107" t="str">
        <x:v>Duplicate participant-code rows</x:v>
      </x:c>
      <x:c r="C15" s="111" t="n">
        <x:f>SUM($Q$9:$Q$208)</x:f>
        <x:v>0</x:v>
      </x:c>
      <x:c r="D15" s="111" t="str">
        <x:f>IF(C15=0,"PASS","ACTION")</x:f>
        <x:v>PASS</x:v>
      </x:c>
      <x:c r="E15" s="107" t="str">
        <x:v>Must be 0</x:v>
      </x:c>
      <x:c r="G15" s="112" t="n">
        <x:f>IF('Sessions'!B11="",0,IF(COUNTIF('Participants'!$A$5:$A$204,'Sessions'!B11)=0,1,0))</x:f>
        <x:v>0</x:v>
      </x:c>
      <x:c r="H15" s="112" t="n">
        <x:f>IF('Attempts'!B11="",0,IF(COUNTIF('Sessions'!$A$5:$A$204,'Attempts'!B11)=0,1,0))</x:f>
        <x:v>0</x:v>
      </x:c>
      <x:c r="I15" s="112" t="n">
        <x:f>IF('Sessions'!A11="",0,IF(COUNTIF('Expert Labels'!$B$5:$B$204,'Sessions'!A11)=0,1,0))</x:f>
        <x:v>0</x:v>
      </x:c>
      <x:c r="J15" s="112" t="n">
        <x:f>IF('Expert Labels'!B11="",0,IF(COUNTIF('Expert Labels'!$B$5:$B$204,'Expert Labels'!B11)&gt;1,1,0))</x:f>
        <x:v>0</x:v>
      </x:c>
      <x:c r="K15" s="112" t="n">
        <x:f>IF('Expert Labels'!B11="",0,IF(COUNTIF('Sessions'!$A$5:$A$204,'Expert Labels'!B11)=0,1,0))</x:f>
        <x:v>0</x:v>
      </x:c>
      <x:c r="L15" s="112" t="n">
        <x:f>IF('Session Training Data'!A11="",0,IF(COUNTIF('Sessions'!$A$5:$A$204,'Session Training Data'!A11)=0,1,0))</x:f>
        <x:v>0</x:v>
      </x:c>
      <x:c r="M15" s="112" t="n">
        <x:f>IF('Session Training Data'!AF11="",0,IF(COUNTIF('Participants'!$A$5:$A$204,'Session Training Data'!AF11)=0,1,0))</x:f>
        <x:v>0</x:v>
      </x:c>
      <x:c r="N15" s="112" t="n">
        <x:f>IF(OR('Session Training Data'!A11="",'Session Training Data'!AF11=""),0,IF(COUNTIFS('Sessions'!$A$5:$A$204,'Session Training Data'!A11,'Sessions'!$B$5:$B$204,'Session Training Data'!AF11)=0,1,0))</x:f>
        <x:v>0</x:v>
      </x:c>
      <x:c r="O15" s="112" t="n">
        <x:f>IF('Session Training Data'!AF11="",0,IF(COUNTIFS('Participants'!$A$5:$A$204,'Session Training Data'!AF11,'Participants'!$D$5:$D$204,"yes")=0,1,0))</x:f>
        <x:v>0</x:v>
      </x:c>
      <x:c r="P15" s="112" t="n">
        <x:f>IF('Session Training Data'!AF11="",0,IF(COUNTIF('Session Training Data'!$AF$5:AF11,'Session Training Data'!AF11)=1,1,0))</x:f>
        <x:v>0</x:v>
      </x:c>
      <x:c r="Q15" s="112" t="n">
        <x:f>IF('Participants'!A11="",0,IF(COUNTIF('Participants'!$A$5:$A$204,'Participants'!A11)&gt;1,1,0))</x:f>
        <x:v>0</x:v>
      </x:c>
      <x:c r="R15" s="112" t="n">
        <x:f>IF('Sessions'!A11="",0,IF(COUNTIF('Sessions'!$A$5:$A$204,'Sessions'!A11)&gt;1,1,0))</x:f>
        <x:v>0</x:v>
      </x:c>
      <x:c r="S15" s="112" t="n">
        <x:f>IF('Attempts'!A11="",0,IF(COUNTIF('Attempts'!$A$5:$A$204,'Attempts'!A11)&gt;1,1,0))</x:f>
        <x:v>0</x:v>
      </x:c>
      <x:c r="T15" s="112" t="n">
        <x:f>IF('Session Training Data'!A11="",0,IF(COUNTIF('Session Training Data'!$A$5:$A$204,'Session Training Data'!A11)&gt;1,1,0))</x:f>
        <x:v>0</x:v>
      </x:c>
    </x:row>
    <x:row r="16" ht="25" customHeight="1">
      <x:c r="A16" s="111" t="str">
        <x:v>Consent</x:v>
      </x:c>
      <x:c r="B16" s="107" t="str">
        <x:v>Participants without confirmed consent</x:v>
      </x:c>
      <x:c r="C16" s="111" t="n">
        <x:f>COUNTIFS('Participants'!$A$5:$A$204,"&lt;&gt;",'Participants'!$D$5:$D$204,"&lt;&gt;yes")</x:f>
        <x:v>0</x:v>
      </x:c>
      <x:c r="D16" s="111" t="str">
        <x:f>IF(C16=0,"PASS","ACTION")</x:f>
        <x:v>PASS</x:v>
      </x:c>
      <x:c r="E16" s="107" t="str">
        <x:v>Must be 0</x:v>
      </x:c>
      <x:c r="G16" s="112" t="n">
        <x:f>IF('Sessions'!B12="",0,IF(COUNTIF('Participants'!$A$5:$A$204,'Sessions'!B12)=0,1,0))</x:f>
        <x:v>0</x:v>
      </x:c>
      <x:c r="H16" s="112" t="n">
        <x:f>IF('Attempts'!B12="",0,IF(COUNTIF('Sessions'!$A$5:$A$204,'Attempts'!B12)=0,1,0))</x:f>
        <x:v>0</x:v>
      </x:c>
      <x:c r="I16" s="112" t="n">
        <x:f>IF('Sessions'!A12="",0,IF(COUNTIF('Expert Labels'!$B$5:$B$204,'Sessions'!A12)=0,1,0))</x:f>
        <x:v>0</x:v>
      </x:c>
      <x:c r="J16" s="112" t="n">
        <x:f>IF('Expert Labels'!B12="",0,IF(COUNTIF('Expert Labels'!$B$5:$B$204,'Expert Labels'!B12)&gt;1,1,0))</x:f>
        <x:v>0</x:v>
      </x:c>
      <x:c r="K16" s="112" t="n">
        <x:f>IF('Expert Labels'!B12="",0,IF(COUNTIF('Sessions'!$A$5:$A$204,'Expert Labels'!B12)=0,1,0))</x:f>
        <x:v>0</x:v>
      </x:c>
      <x:c r="L16" s="112" t="n">
        <x:f>IF('Session Training Data'!A12="",0,IF(COUNTIF('Sessions'!$A$5:$A$204,'Session Training Data'!A12)=0,1,0))</x:f>
        <x:v>0</x:v>
      </x:c>
      <x:c r="M16" s="112" t="n">
        <x:f>IF('Session Training Data'!AF12="",0,IF(COUNTIF('Participants'!$A$5:$A$204,'Session Training Data'!AF12)=0,1,0))</x:f>
        <x:v>0</x:v>
      </x:c>
      <x:c r="N16" s="112" t="n">
        <x:f>IF(OR('Session Training Data'!A12="",'Session Training Data'!AF12=""),0,IF(COUNTIFS('Sessions'!$A$5:$A$204,'Session Training Data'!A12,'Sessions'!$B$5:$B$204,'Session Training Data'!AF12)=0,1,0))</x:f>
        <x:v>0</x:v>
      </x:c>
      <x:c r="O16" s="112" t="n">
        <x:f>IF('Session Training Data'!AF12="",0,IF(COUNTIFS('Participants'!$A$5:$A$204,'Session Training Data'!AF12,'Participants'!$D$5:$D$204,"yes")=0,1,0))</x:f>
        <x:v>0</x:v>
      </x:c>
      <x:c r="P16" s="112" t="n">
        <x:f>IF('Session Training Data'!AF12="",0,IF(COUNTIF('Session Training Data'!$AF$5:AF12,'Session Training Data'!AF12)=1,1,0))</x:f>
        <x:v>0</x:v>
      </x:c>
      <x:c r="Q16" s="112" t="n">
        <x:f>IF('Participants'!A12="",0,IF(COUNTIF('Participants'!$A$5:$A$204,'Participants'!A12)&gt;1,1,0))</x:f>
        <x:v>0</x:v>
      </x:c>
      <x:c r="R16" s="112" t="n">
        <x:f>IF('Sessions'!A12="",0,IF(COUNTIF('Sessions'!$A$5:$A$204,'Sessions'!A12)&gt;1,1,0))</x:f>
        <x:v>0</x:v>
      </x:c>
      <x:c r="S16" s="112" t="n">
        <x:f>IF('Attempts'!A12="",0,IF(COUNTIF('Attempts'!$A$5:$A$204,'Attempts'!A12)&gt;1,1,0))</x:f>
        <x:v>0</x:v>
      </x:c>
      <x:c r="T16" s="112" t="n">
        <x:f>IF('Session Training Data'!A12="",0,IF(COUNTIF('Session Training Data'!$A$5:$A$204,'Session Training Data'!A12)&gt;1,1,0))</x:f>
        <x:v>0</x:v>
      </x:c>
    </x:row>
    <x:row r="17" ht="25" customHeight="1">
      <x:c r="A17" s="111" t="str">
        <x:v>Identifiers</x:v>
      </x:c>
      <x:c r="B17" s="107" t="str">
        <x:v>Missing session IDs</x:v>
      </x:c>
      <x:c r="C17" s="111" t="n">
        <x:f>COUNTIFS('Sessions'!$B$5:$B$204,"&lt;&gt;",'Sessions'!$A$5:$A$204,"")</x:f>
        <x:v>0</x:v>
      </x:c>
      <x:c r="D17" s="111" t="str">
        <x:f>IF(C17=0,"PASS","ACTION")</x:f>
        <x:v>PASS</x:v>
      </x:c>
      <x:c r="E17" s="107" t="str">
        <x:v>Must be 0</x:v>
      </x:c>
      <x:c r="G17" s="112" t="n">
        <x:f>IF('Sessions'!B13="",0,IF(COUNTIF('Participants'!$A$5:$A$204,'Sessions'!B13)=0,1,0))</x:f>
        <x:v>0</x:v>
      </x:c>
      <x:c r="H17" s="112" t="n">
        <x:f>IF('Attempts'!B13="",0,IF(COUNTIF('Sessions'!$A$5:$A$204,'Attempts'!B13)=0,1,0))</x:f>
        <x:v>0</x:v>
      </x:c>
      <x:c r="I17" s="112" t="n">
        <x:f>IF('Sessions'!A13="",0,IF(COUNTIF('Expert Labels'!$B$5:$B$204,'Sessions'!A13)=0,1,0))</x:f>
        <x:v>0</x:v>
      </x:c>
      <x:c r="J17" s="112" t="n">
        <x:f>IF('Expert Labels'!B13="",0,IF(COUNTIF('Expert Labels'!$B$5:$B$204,'Expert Labels'!B13)&gt;1,1,0))</x:f>
        <x:v>0</x:v>
      </x:c>
      <x:c r="K17" s="112" t="n">
        <x:f>IF('Expert Labels'!B13="",0,IF(COUNTIF('Sessions'!$A$5:$A$204,'Expert Labels'!B13)=0,1,0))</x:f>
        <x:v>0</x:v>
      </x:c>
      <x:c r="L17" s="112" t="n">
        <x:f>IF('Session Training Data'!A13="",0,IF(COUNTIF('Sessions'!$A$5:$A$204,'Session Training Data'!A13)=0,1,0))</x:f>
        <x:v>0</x:v>
      </x:c>
      <x:c r="M17" s="112" t="n">
        <x:f>IF('Session Training Data'!AF13="",0,IF(COUNTIF('Participants'!$A$5:$A$204,'Session Training Data'!AF13)=0,1,0))</x:f>
        <x:v>0</x:v>
      </x:c>
      <x:c r="N17" s="112" t="n">
        <x:f>IF(OR('Session Training Data'!A13="",'Session Training Data'!AF13=""),0,IF(COUNTIFS('Sessions'!$A$5:$A$204,'Session Training Data'!A13,'Sessions'!$B$5:$B$204,'Session Training Data'!AF13)=0,1,0))</x:f>
        <x:v>0</x:v>
      </x:c>
      <x:c r="O17" s="112" t="n">
        <x:f>IF('Session Training Data'!AF13="",0,IF(COUNTIFS('Participants'!$A$5:$A$204,'Session Training Data'!AF13,'Participants'!$D$5:$D$204,"yes")=0,1,0))</x:f>
        <x:v>0</x:v>
      </x:c>
      <x:c r="P17" s="112" t="n">
        <x:f>IF('Session Training Data'!AF13="",0,IF(COUNTIF('Session Training Data'!$AF$5:AF13,'Session Training Data'!AF13)=1,1,0))</x:f>
        <x:v>0</x:v>
      </x:c>
      <x:c r="Q17" s="112" t="n">
        <x:f>IF('Participants'!A13="",0,IF(COUNTIF('Participants'!$A$5:$A$204,'Participants'!A13)&gt;1,1,0))</x:f>
        <x:v>0</x:v>
      </x:c>
      <x:c r="R17" s="112" t="n">
        <x:f>IF('Sessions'!A13="",0,IF(COUNTIF('Sessions'!$A$5:$A$204,'Sessions'!A13)&gt;1,1,0))</x:f>
        <x:v>0</x:v>
      </x:c>
      <x:c r="S17" s="112" t="n">
        <x:f>IF('Attempts'!A13="",0,IF(COUNTIF('Attempts'!$A$5:$A$204,'Attempts'!A13)&gt;1,1,0))</x:f>
        <x:v>0</x:v>
      </x:c>
      <x:c r="T17" s="112" t="n">
        <x:f>IF('Session Training Data'!A13="",0,IF(COUNTIF('Session Training Data'!$A$5:$A$204,'Session Training Data'!A13)&gt;1,1,0))</x:f>
        <x:v>0</x:v>
      </x:c>
    </x:row>
    <x:row r="18" ht="25" customHeight="1">
      <x:c r="A18" s="111" t="str">
        <x:v>Identifiers</x:v>
      </x:c>
      <x:c r="B18" s="107" t="str">
        <x:v>Duplicate session-ID rows</x:v>
      </x:c>
      <x:c r="C18" s="111" t="n">
        <x:f>SUM($R$9:$R$208)</x:f>
        <x:v>0</x:v>
      </x:c>
      <x:c r="D18" s="111" t="str">
        <x:f>IF(C18=0,"PASS","ACTION")</x:f>
        <x:v>PASS</x:v>
      </x:c>
      <x:c r="E18" s="107" t="str">
        <x:v>Must be 0</x:v>
      </x:c>
      <x:c r="G18" s="112" t="n">
        <x:f>IF('Sessions'!B14="",0,IF(COUNTIF('Participants'!$A$5:$A$204,'Sessions'!B14)=0,1,0))</x:f>
        <x:v>0</x:v>
      </x:c>
      <x:c r="H18" s="112" t="n">
        <x:f>IF('Attempts'!B14="",0,IF(COUNTIF('Sessions'!$A$5:$A$204,'Attempts'!B14)=0,1,0))</x:f>
        <x:v>0</x:v>
      </x:c>
      <x:c r="I18" s="112" t="n">
        <x:f>IF('Sessions'!A14="",0,IF(COUNTIF('Expert Labels'!$B$5:$B$204,'Sessions'!A14)=0,1,0))</x:f>
        <x:v>0</x:v>
      </x:c>
      <x:c r="J18" s="112" t="n">
        <x:f>IF('Expert Labels'!B14="",0,IF(COUNTIF('Expert Labels'!$B$5:$B$204,'Expert Labels'!B14)&gt;1,1,0))</x:f>
        <x:v>0</x:v>
      </x:c>
      <x:c r="K18" s="112" t="n">
        <x:f>IF('Expert Labels'!B14="",0,IF(COUNTIF('Sessions'!$A$5:$A$204,'Expert Labels'!B14)=0,1,0))</x:f>
        <x:v>0</x:v>
      </x:c>
      <x:c r="L18" s="112" t="n">
        <x:f>IF('Session Training Data'!A14="",0,IF(COUNTIF('Sessions'!$A$5:$A$204,'Session Training Data'!A14)=0,1,0))</x:f>
        <x:v>0</x:v>
      </x:c>
      <x:c r="M18" s="112" t="n">
        <x:f>IF('Session Training Data'!AF14="",0,IF(COUNTIF('Participants'!$A$5:$A$204,'Session Training Data'!AF14)=0,1,0))</x:f>
        <x:v>0</x:v>
      </x:c>
      <x:c r="N18" s="112" t="n">
        <x:f>IF(OR('Session Training Data'!A14="",'Session Training Data'!AF14=""),0,IF(COUNTIFS('Sessions'!$A$5:$A$204,'Session Training Data'!A14,'Sessions'!$B$5:$B$204,'Session Training Data'!AF14)=0,1,0))</x:f>
        <x:v>0</x:v>
      </x:c>
      <x:c r="O18" s="112" t="n">
        <x:f>IF('Session Training Data'!AF14="",0,IF(COUNTIFS('Participants'!$A$5:$A$204,'Session Training Data'!AF14,'Participants'!$D$5:$D$204,"yes")=0,1,0))</x:f>
        <x:v>0</x:v>
      </x:c>
      <x:c r="P18" s="112" t="n">
        <x:f>IF('Session Training Data'!AF14="",0,IF(COUNTIF('Session Training Data'!$AF$5:AF14,'Session Training Data'!AF14)=1,1,0))</x:f>
        <x:v>0</x:v>
      </x:c>
      <x:c r="Q18" s="112" t="n">
        <x:f>IF('Participants'!A14="",0,IF(COUNTIF('Participants'!$A$5:$A$204,'Participants'!A14)&gt;1,1,0))</x:f>
        <x:v>0</x:v>
      </x:c>
      <x:c r="R18" s="112" t="n">
        <x:f>IF('Sessions'!A14="",0,IF(COUNTIF('Sessions'!$A$5:$A$204,'Sessions'!A14)&gt;1,1,0))</x:f>
        <x:v>0</x:v>
      </x:c>
      <x:c r="S18" s="112" t="n">
        <x:f>IF('Attempts'!A14="",0,IF(COUNTIF('Attempts'!$A$5:$A$204,'Attempts'!A14)&gt;1,1,0))</x:f>
        <x:v>0</x:v>
      </x:c>
      <x:c r="T18" s="112" t="n">
        <x:f>IF('Session Training Data'!A14="",0,IF(COUNTIF('Session Training Data'!$A$5:$A$204,'Session Training Data'!A14)&gt;1,1,0))</x:f>
        <x:v>0</x:v>
      </x:c>
    </x:row>
    <x:row r="19" ht="25" customHeight="1">
      <x:c r="A19" s="111" t="str">
        <x:v>Linkage</x:v>
      </x:c>
      <x:c r="B19" s="107" t="str">
        <x:v>Sessions with unknown participant codes</x:v>
      </x:c>
      <x:c r="C19" s="111" t="n">
        <x:f>SUM($G$9:$G$208)</x:f>
        <x:v>0</x:v>
      </x:c>
      <x:c r="D19" s="111" t="str">
        <x:f>IF(C19=0,"PASS","ACTION")</x:f>
        <x:v>PASS</x:v>
      </x:c>
      <x:c r="E19" s="107" t="str">
        <x:v>Must be 0</x:v>
      </x:c>
      <x:c r="G19" s="112" t="n">
        <x:f>IF('Sessions'!B15="",0,IF(COUNTIF('Participants'!$A$5:$A$204,'Sessions'!B15)=0,1,0))</x:f>
        <x:v>0</x:v>
      </x:c>
      <x:c r="H19" s="112" t="n">
        <x:f>IF('Attempts'!B15="",0,IF(COUNTIF('Sessions'!$A$5:$A$204,'Attempts'!B15)=0,1,0))</x:f>
        <x:v>0</x:v>
      </x:c>
      <x:c r="I19" s="112" t="n">
        <x:f>IF('Sessions'!A15="",0,IF(COUNTIF('Expert Labels'!$B$5:$B$204,'Sessions'!A15)=0,1,0))</x:f>
        <x:v>0</x:v>
      </x:c>
      <x:c r="J19" s="112" t="n">
        <x:f>IF('Expert Labels'!B15="",0,IF(COUNTIF('Expert Labels'!$B$5:$B$204,'Expert Labels'!B15)&gt;1,1,0))</x:f>
        <x:v>0</x:v>
      </x:c>
      <x:c r="K19" s="112" t="n">
        <x:f>IF('Expert Labels'!B15="",0,IF(COUNTIF('Sessions'!$A$5:$A$204,'Expert Labels'!B15)=0,1,0))</x:f>
        <x:v>0</x:v>
      </x:c>
      <x:c r="L19" s="112" t="n">
        <x:f>IF('Session Training Data'!A15="",0,IF(COUNTIF('Sessions'!$A$5:$A$204,'Session Training Data'!A15)=0,1,0))</x:f>
        <x:v>0</x:v>
      </x:c>
      <x:c r="M19" s="112" t="n">
        <x:f>IF('Session Training Data'!AF15="",0,IF(COUNTIF('Participants'!$A$5:$A$204,'Session Training Data'!AF15)=0,1,0))</x:f>
        <x:v>0</x:v>
      </x:c>
      <x:c r="N19" s="112" t="n">
        <x:f>IF(OR('Session Training Data'!A15="",'Session Training Data'!AF15=""),0,IF(COUNTIFS('Sessions'!$A$5:$A$204,'Session Training Data'!A15,'Sessions'!$B$5:$B$204,'Session Training Data'!AF15)=0,1,0))</x:f>
        <x:v>0</x:v>
      </x:c>
      <x:c r="O19" s="112" t="n">
        <x:f>IF('Session Training Data'!AF15="",0,IF(COUNTIFS('Participants'!$A$5:$A$204,'Session Training Data'!AF15,'Participants'!$D$5:$D$204,"yes")=0,1,0))</x:f>
        <x:v>0</x:v>
      </x:c>
      <x:c r="P19" s="112" t="n">
        <x:f>IF('Session Training Data'!AF15="",0,IF(COUNTIF('Session Training Data'!$AF$5:AF15,'Session Training Data'!AF15)=1,1,0))</x:f>
        <x:v>0</x:v>
      </x:c>
      <x:c r="Q19" s="112" t="n">
        <x:f>IF('Participants'!A15="",0,IF(COUNTIF('Participants'!$A$5:$A$204,'Participants'!A15)&gt;1,1,0))</x:f>
        <x:v>0</x:v>
      </x:c>
      <x:c r="R19" s="112" t="n">
        <x:f>IF('Sessions'!A15="",0,IF(COUNTIF('Sessions'!$A$5:$A$204,'Sessions'!A15)&gt;1,1,0))</x:f>
        <x:v>0</x:v>
      </x:c>
      <x:c r="S19" s="112" t="n">
        <x:f>IF('Attempts'!A15="",0,IF(COUNTIF('Attempts'!$A$5:$A$204,'Attempts'!A15)&gt;1,1,0))</x:f>
        <x:v>0</x:v>
      </x:c>
      <x:c r="T19" s="112" t="n">
        <x:f>IF('Session Training Data'!A15="",0,IF(COUNTIF('Session Training Data'!$A$5:$A$204,'Session Training Data'!A15)&gt;1,1,0))</x:f>
        <x:v>0</x:v>
      </x:c>
    </x:row>
    <x:row r="20" ht="25" customHeight="1">
      <x:c r="A20" s="111" t="str">
        <x:v>Identifiers</x:v>
      </x:c>
      <x:c r="B20" s="107" t="str">
        <x:v>Missing attempt IDs</x:v>
      </x:c>
      <x:c r="C20" s="111" t="n">
        <x:f>COUNTIFS('Attempts'!$B$5:$B$204,"&lt;&gt;",'Attempts'!$A$5:$A$204,"")</x:f>
        <x:v>0</x:v>
      </x:c>
      <x:c r="D20" s="111" t="str">
        <x:f>IF(C20=0,"PASS","ACTION")</x:f>
        <x:v>PASS</x:v>
      </x:c>
      <x:c r="E20" s="107" t="str">
        <x:v>Must be 0</x:v>
      </x:c>
      <x:c r="G20" s="112" t="n">
        <x:f>IF('Sessions'!B16="",0,IF(COUNTIF('Participants'!$A$5:$A$204,'Sessions'!B16)=0,1,0))</x:f>
        <x:v>0</x:v>
      </x:c>
      <x:c r="H20" s="112" t="n">
        <x:f>IF('Attempts'!B16="",0,IF(COUNTIF('Sessions'!$A$5:$A$204,'Attempts'!B16)=0,1,0))</x:f>
        <x:v>0</x:v>
      </x:c>
      <x:c r="I20" s="112" t="n">
        <x:f>IF('Sessions'!A16="",0,IF(COUNTIF('Expert Labels'!$B$5:$B$204,'Sessions'!A16)=0,1,0))</x:f>
        <x:v>0</x:v>
      </x:c>
      <x:c r="J20" s="112" t="n">
        <x:f>IF('Expert Labels'!B16="",0,IF(COUNTIF('Expert Labels'!$B$5:$B$204,'Expert Labels'!B16)&gt;1,1,0))</x:f>
        <x:v>0</x:v>
      </x:c>
      <x:c r="K20" s="112" t="n">
        <x:f>IF('Expert Labels'!B16="",0,IF(COUNTIF('Sessions'!$A$5:$A$204,'Expert Labels'!B16)=0,1,0))</x:f>
        <x:v>0</x:v>
      </x:c>
      <x:c r="L20" s="112" t="n">
        <x:f>IF('Session Training Data'!A16="",0,IF(COUNTIF('Sessions'!$A$5:$A$204,'Session Training Data'!A16)=0,1,0))</x:f>
        <x:v>0</x:v>
      </x:c>
      <x:c r="M20" s="112" t="n">
        <x:f>IF('Session Training Data'!AF16="",0,IF(COUNTIF('Participants'!$A$5:$A$204,'Session Training Data'!AF16)=0,1,0))</x:f>
        <x:v>0</x:v>
      </x:c>
      <x:c r="N20" s="112" t="n">
        <x:f>IF(OR('Session Training Data'!A16="",'Session Training Data'!AF16=""),0,IF(COUNTIFS('Sessions'!$A$5:$A$204,'Session Training Data'!A16,'Sessions'!$B$5:$B$204,'Session Training Data'!AF16)=0,1,0))</x:f>
        <x:v>0</x:v>
      </x:c>
      <x:c r="O20" s="112" t="n">
        <x:f>IF('Session Training Data'!AF16="",0,IF(COUNTIFS('Participants'!$A$5:$A$204,'Session Training Data'!AF16,'Participants'!$D$5:$D$204,"yes")=0,1,0))</x:f>
        <x:v>0</x:v>
      </x:c>
      <x:c r="P20" s="112" t="n">
        <x:f>IF('Session Training Data'!AF16="",0,IF(COUNTIF('Session Training Data'!$AF$5:AF16,'Session Training Data'!AF16)=1,1,0))</x:f>
        <x:v>0</x:v>
      </x:c>
      <x:c r="Q20" s="112" t="n">
        <x:f>IF('Participants'!A16="",0,IF(COUNTIF('Participants'!$A$5:$A$204,'Participants'!A16)&gt;1,1,0))</x:f>
        <x:v>0</x:v>
      </x:c>
      <x:c r="R20" s="112" t="n">
        <x:f>IF('Sessions'!A16="",0,IF(COUNTIF('Sessions'!$A$5:$A$204,'Sessions'!A16)&gt;1,1,0))</x:f>
        <x:v>0</x:v>
      </x:c>
      <x:c r="S20" s="112" t="n">
        <x:f>IF('Attempts'!A16="",0,IF(COUNTIF('Attempts'!$A$5:$A$204,'Attempts'!A16)&gt;1,1,0))</x:f>
        <x:v>0</x:v>
      </x:c>
      <x:c r="T20" s="112" t="n">
        <x:f>IF('Session Training Data'!A16="",0,IF(COUNTIF('Session Training Data'!$A$5:$A$204,'Session Training Data'!A16)&gt;1,1,0))</x:f>
        <x:v>0</x:v>
      </x:c>
    </x:row>
    <x:row r="21" ht="25" customHeight="1">
      <x:c r="A21" s="111" t="str">
        <x:v>Identifiers</x:v>
      </x:c>
      <x:c r="B21" s="107" t="str">
        <x:v>Duplicate attempt-ID rows</x:v>
      </x:c>
      <x:c r="C21" s="111" t="n">
        <x:f>SUM($S$9:$S$208)</x:f>
        <x:v>0</x:v>
      </x:c>
      <x:c r="D21" s="111" t="str">
        <x:f>IF(C21=0,"PASS","ACTION")</x:f>
        <x:v>PASS</x:v>
      </x:c>
      <x:c r="E21" s="107" t="str">
        <x:v>Must be 0</x:v>
      </x:c>
      <x:c r="G21" s="112" t="n">
        <x:f>IF('Sessions'!B17="",0,IF(COUNTIF('Participants'!$A$5:$A$204,'Sessions'!B17)=0,1,0))</x:f>
        <x:v>0</x:v>
      </x:c>
      <x:c r="H21" s="112" t="n">
        <x:f>IF('Attempts'!B17="",0,IF(COUNTIF('Sessions'!$A$5:$A$204,'Attempts'!B17)=0,1,0))</x:f>
        <x:v>0</x:v>
      </x:c>
      <x:c r="I21" s="112" t="n">
        <x:f>IF('Sessions'!A17="",0,IF(COUNTIF('Expert Labels'!$B$5:$B$204,'Sessions'!A17)=0,1,0))</x:f>
        <x:v>0</x:v>
      </x:c>
      <x:c r="J21" s="112" t="n">
        <x:f>IF('Expert Labels'!B17="",0,IF(COUNTIF('Expert Labels'!$B$5:$B$204,'Expert Labels'!B17)&gt;1,1,0))</x:f>
        <x:v>0</x:v>
      </x:c>
      <x:c r="K21" s="112" t="n">
        <x:f>IF('Expert Labels'!B17="",0,IF(COUNTIF('Sessions'!$A$5:$A$204,'Expert Labels'!B17)=0,1,0))</x:f>
        <x:v>0</x:v>
      </x:c>
      <x:c r="L21" s="112" t="n">
        <x:f>IF('Session Training Data'!A17="",0,IF(COUNTIF('Sessions'!$A$5:$A$204,'Session Training Data'!A17)=0,1,0))</x:f>
        <x:v>0</x:v>
      </x:c>
      <x:c r="M21" s="112" t="n">
        <x:f>IF('Session Training Data'!AF17="",0,IF(COUNTIF('Participants'!$A$5:$A$204,'Session Training Data'!AF17)=0,1,0))</x:f>
        <x:v>0</x:v>
      </x:c>
      <x:c r="N21" s="112" t="n">
        <x:f>IF(OR('Session Training Data'!A17="",'Session Training Data'!AF17=""),0,IF(COUNTIFS('Sessions'!$A$5:$A$204,'Session Training Data'!A17,'Sessions'!$B$5:$B$204,'Session Training Data'!AF17)=0,1,0))</x:f>
        <x:v>0</x:v>
      </x:c>
      <x:c r="O21" s="112" t="n">
        <x:f>IF('Session Training Data'!AF17="",0,IF(COUNTIFS('Participants'!$A$5:$A$204,'Session Training Data'!AF17,'Participants'!$D$5:$D$204,"yes")=0,1,0))</x:f>
        <x:v>0</x:v>
      </x:c>
      <x:c r="P21" s="112" t="n">
        <x:f>IF('Session Training Data'!AF17="",0,IF(COUNTIF('Session Training Data'!$AF$5:AF17,'Session Training Data'!AF17)=1,1,0))</x:f>
        <x:v>0</x:v>
      </x:c>
      <x:c r="Q21" s="112" t="n">
        <x:f>IF('Participants'!A17="",0,IF(COUNTIF('Participants'!$A$5:$A$204,'Participants'!A17)&gt;1,1,0))</x:f>
        <x:v>0</x:v>
      </x:c>
      <x:c r="R21" s="112" t="n">
        <x:f>IF('Sessions'!A17="",0,IF(COUNTIF('Sessions'!$A$5:$A$204,'Sessions'!A17)&gt;1,1,0))</x:f>
        <x:v>0</x:v>
      </x:c>
      <x:c r="S21" s="112" t="n">
        <x:f>IF('Attempts'!A17="",0,IF(COUNTIF('Attempts'!$A$5:$A$204,'Attempts'!A17)&gt;1,1,0))</x:f>
        <x:v>0</x:v>
      </x:c>
      <x:c r="T21" s="112" t="n">
        <x:f>IF('Session Training Data'!A17="",0,IF(COUNTIF('Session Training Data'!$A$5:$A$204,'Session Training Data'!A17)&gt;1,1,0))</x:f>
        <x:v>0</x:v>
      </x:c>
    </x:row>
    <x:row r="22" ht="25" customHeight="1">
      <x:c r="A22" s="111" t="str">
        <x:v>Linkage</x:v>
      </x:c>
      <x:c r="B22" s="107" t="str">
        <x:v>Attempts with unknown session IDs</x:v>
      </x:c>
      <x:c r="C22" s="111" t="n">
        <x:f>SUM($H$9:$H$208)</x:f>
        <x:v>0</x:v>
      </x:c>
      <x:c r="D22" s="111" t="str">
        <x:f>IF(C22=0,"PASS","ACTION")</x:f>
        <x:v>PASS</x:v>
      </x:c>
      <x:c r="E22" s="107" t="str">
        <x:v>Must be 0</x:v>
      </x:c>
      <x:c r="G22" s="112" t="n">
        <x:f>IF('Sessions'!B18="",0,IF(COUNTIF('Participants'!$A$5:$A$204,'Sessions'!B18)=0,1,0))</x:f>
        <x:v>0</x:v>
      </x:c>
      <x:c r="H22" s="112" t="n">
        <x:f>IF('Attempts'!B18="",0,IF(COUNTIF('Sessions'!$A$5:$A$204,'Attempts'!B18)=0,1,0))</x:f>
        <x:v>0</x:v>
      </x:c>
      <x:c r="I22" s="112" t="n">
        <x:f>IF('Sessions'!A18="",0,IF(COUNTIF('Expert Labels'!$B$5:$B$204,'Sessions'!A18)=0,1,0))</x:f>
        <x:v>0</x:v>
      </x:c>
      <x:c r="J22" s="112" t="n">
        <x:f>IF('Expert Labels'!B18="",0,IF(COUNTIF('Expert Labels'!$B$5:$B$204,'Expert Labels'!B18)&gt;1,1,0))</x:f>
        <x:v>0</x:v>
      </x:c>
      <x:c r="K22" s="112" t="n">
        <x:f>IF('Expert Labels'!B18="",0,IF(COUNTIF('Sessions'!$A$5:$A$204,'Expert Labels'!B18)=0,1,0))</x:f>
        <x:v>0</x:v>
      </x:c>
      <x:c r="L22" s="112" t="n">
        <x:f>IF('Session Training Data'!A18="",0,IF(COUNTIF('Sessions'!$A$5:$A$204,'Session Training Data'!A18)=0,1,0))</x:f>
        <x:v>0</x:v>
      </x:c>
      <x:c r="M22" s="112" t="n">
        <x:f>IF('Session Training Data'!AF18="",0,IF(COUNTIF('Participants'!$A$5:$A$204,'Session Training Data'!AF18)=0,1,0))</x:f>
        <x:v>0</x:v>
      </x:c>
      <x:c r="N22" s="112" t="n">
        <x:f>IF(OR('Session Training Data'!A18="",'Session Training Data'!AF18=""),0,IF(COUNTIFS('Sessions'!$A$5:$A$204,'Session Training Data'!A18,'Sessions'!$B$5:$B$204,'Session Training Data'!AF18)=0,1,0))</x:f>
        <x:v>0</x:v>
      </x:c>
      <x:c r="O22" s="112" t="n">
        <x:f>IF('Session Training Data'!AF18="",0,IF(COUNTIFS('Participants'!$A$5:$A$204,'Session Training Data'!AF18,'Participants'!$D$5:$D$204,"yes")=0,1,0))</x:f>
        <x:v>0</x:v>
      </x:c>
      <x:c r="P22" s="112" t="n">
        <x:f>IF('Session Training Data'!AF18="",0,IF(COUNTIF('Session Training Data'!$AF$5:AF18,'Session Training Data'!AF18)=1,1,0))</x:f>
        <x:v>0</x:v>
      </x:c>
      <x:c r="Q22" s="112" t="n">
        <x:f>IF('Participants'!A18="",0,IF(COUNTIF('Participants'!$A$5:$A$204,'Participants'!A18)&gt;1,1,0))</x:f>
        <x:v>0</x:v>
      </x:c>
      <x:c r="R22" s="112" t="n">
        <x:f>IF('Sessions'!A18="",0,IF(COUNTIF('Sessions'!$A$5:$A$204,'Sessions'!A18)&gt;1,1,0))</x:f>
        <x:v>0</x:v>
      </x:c>
      <x:c r="S22" s="112" t="n">
        <x:f>IF('Attempts'!A18="",0,IF(COUNTIF('Attempts'!$A$5:$A$204,'Attempts'!A18)&gt;1,1,0))</x:f>
        <x:v>0</x:v>
      </x:c>
      <x:c r="T22" s="112" t="n">
        <x:f>IF('Session Training Data'!A18="",0,IF(COUNTIF('Session Training Data'!$A$5:$A$204,'Session Training Data'!A18)&gt;1,1,0))</x:f>
        <x:v>0</x:v>
      </x:c>
    </x:row>
    <x:row r="23" ht="25" customHeight="1">
      <x:c r="A23" s="111" t="str">
        <x:v>Labels</x:v>
      </x:c>
      <x:c r="B23" s="107" t="str">
        <x:v>Collected sessions without expert label</x:v>
      </x:c>
      <x:c r="C23" s="111" t="n">
        <x:f>SUM($I$9:$I$208)</x:f>
        <x:v>0</x:v>
      </x:c>
      <x:c r="D23" s="111" t="str">
        <x:f>IF(C23=0,"PASS","ACTION")</x:f>
        <x:v>PASS</x:v>
      </x:c>
      <x:c r="E23" s="107" t="str">
        <x:v>Must be 0</x:v>
      </x:c>
      <x:c r="G23" s="112" t="n">
        <x:f>IF('Sessions'!B19="",0,IF(COUNTIF('Participants'!$A$5:$A$204,'Sessions'!B19)=0,1,0))</x:f>
        <x:v>0</x:v>
      </x:c>
      <x:c r="H23" s="112" t="n">
        <x:f>IF('Attempts'!B19="",0,IF(COUNTIF('Sessions'!$A$5:$A$204,'Attempts'!B19)=0,1,0))</x:f>
        <x:v>0</x:v>
      </x:c>
      <x:c r="I23" s="112" t="n">
        <x:f>IF('Sessions'!A19="",0,IF(COUNTIF('Expert Labels'!$B$5:$B$204,'Sessions'!A19)=0,1,0))</x:f>
        <x:v>0</x:v>
      </x:c>
      <x:c r="J23" s="112" t="n">
        <x:f>IF('Expert Labels'!B19="",0,IF(COUNTIF('Expert Labels'!$B$5:$B$204,'Expert Labels'!B19)&gt;1,1,0))</x:f>
        <x:v>0</x:v>
      </x:c>
      <x:c r="K23" s="112" t="n">
        <x:f>IF('Expert Labels'!B19="",0,IF(COUNTIF('Sessions'!$A$5:$A$204,'Expert Labels'!B19)=0,1,0))</x:f>
        <x:v>0</x:v>
      </x:c>
      <x:c r="L23" s="112" t="n">
        <x:f>IF('Session Training Data'!A19="",0,IF(COUNTIF('Sessions'!$A$5:$A$204,'Session Training Data'!A19)=0,1,0))</x:f>
        <x:v>0</x:v>
      </x:c>
      <x:c r="M23" s="112" t="n">
        <x:f>IF('Session Training Data'!AF19="",0,IF(COUNTIF('Participants'!$A$5:$A$204,'Session Training Data'!AF19)=0,1,0))</x:f>
        <x:v>0</x:v>
      </x:c>
      <x:c r="N23" s="112" t="n">
        <x:f>IF(OR('Session Training Data'!A19="",'Session Training Data'!AF19=""),0,IF(COUNTIFS('Sessions'!$A$5:$A$204,'Session Training Data'!A19,'Sessions'!$B$5:$B$204,'Session Training Data'!AF19)=0,1,0))</x:f>
        <x:v>0</x:v>
      </x:c>
      <x:c r="O23" s="112" t="n">
        <x:f>IF('Session Training Data'!AF19="",0,IF(COUNTIFS('Participants'!$A$5:$A$204,'Session Training Data'!AF19,'Participants'!$D$5:$D$204,"yes")=0,1,0))</x:f>
        <x:v>0</x:v>
      </x:c>
      <x:c r="P23" s="112" t="n">
        <x:f>IF('Session Training Data'!AF19="",0,IF(COUNTIF('Session Training Data'!$AF$5:AF19,'Session Training Data'!AF19)=1,1,0))</x:f>
        <x:v>0</x:v>
      </x:c>
      <x:c r="Q23" s="112" t="n">
        <x:f>IF('Participants'!A19="",0,IF(COUNTIF('Participants'!$A$5:$A$204,'Participants'!A19)&gt;1,1,0))</x:f>
        <x:v>0</x:v>
      </x:c>
      <x:c r="R23" s="112" t="n">
        <x:f>IF('Sessions'!A19="",0,IF(COUNTIF('Sessions'!$A$5:$A$204,'Sessions'!A19)&gt;1,1,0))</x:f>
        <x:v>0</x:v>
      </x:c>
      <x:c r="S23" s="112" t="n">
        <x:f>IF('Attempts'!A19="",0,IF(COUNTIF('Attempts'!$A$5:$A$204,'Attempts'!A19)&gt;1,1,0))</x:f>
        <x:v>0</x:v>
      </x:c>
      <x:c r="T23" s="112" t="n">
        <x:f>IF('Session Training Data'!A19="",0,IF(COUNTIF('Session Training Data'!$A$5:$A$204,'Session Training Data'!A19)&gt;1,1,0))</x:f>
        <x:v>0</x:v>
      </x:c>
    </x:row>
    <x:row r="24" ht="25" customHeight="1">
      <x:c r="A24" s="111" t="str">
        <x:v>Labels</x:v>
      </x:c>
      <x:c r="B24" s="107" t="str">
        <x:v>Duplicate expert-label session rows</x:v>
      </x:c>
      <x:c r="C24" s="111" t="n">
        <x:f>SUM($J$9:$J$208)</x:f>
        <x:v>0</x:v>
      </x:c>
      <x:c r="D24" s="111" t="str">
        <x:f>IF(C24=0,"PASS","ACTION")</x:f>
        <x:v>PASS</x:v>
      </x:c>
      <x:c r="E24" s="107" t="str">
        <x:v>Must be 0</x:v>
      </x:c>
      <x:c r="G24" s="112" t="n">
        <x:f>IF('Sessions'!B20="",0,IF(COUNTIF('Participants'!$A$5:$A$204,'Sessions'!B20)=0,1,0))</x:f>
        <x:v>0</x:v>
      </x:c>
      <x:c r="H24" s="112" t="n">
        <x:f>IF('Attempts'!B20="",0,IF(COUNTIF('Sessions'!$A$5:$A$204,'Attempts'!B20)=0,1,0))</x:f>
        <x:v>0</x:v>
      </x:c>
      <x:c r="I24" s="112" t="n">
        <x:f>IF('Sessions'!A20="",0,IF(COUNTIF('Expert Labels'!$B$5:$B$204,'Sessions'!A20)=0,1,0))</x:f>
        <x:v>0</x:v>
      </x:c>
      <x:c r="J24" s="112" t="n">
        <x:f>IF('Expert Labels'!B20="",0,IF(COUNTIF('Expert Labels'!$B$5:$B$204,'Expert Labels'!B20)&gt;1,1,0))</x:f>
        <x:v>0</x:v>
      </x:c>
      <x:c r="K24" s="112" t="n">
        <x:f>IF('Expert Labels'!B20="",0,IF(COUNTIF('Sessions'!$A$5:$A$204,'Expert Labels'!B20)=0,1,0))</x:f>
        <x:v>0</x:v>
      </x:c>
      <x:c r="L24" s="112" t="n">
        <x:f>IF('Session Training Data'!A20="",0,IF(COUNTIF('Sessions'!$A$5:$A$204,'Session Training Data'!A20)=0,1,0))</x:f>
        <x:v>0</x:v>
      </x:c>
      <x:c r="M24" s="112" t="n">
        <x:f>IF('Session Training Data'!AF20="",0,IF(COUNTIF('Participants'!$A$5:$A$204,'Session Training Data'!AF20)=0,1,0))</x:f>
        <x:v>0</x:v>
      </x:c>
      <x:c r="N24" s="112" t="n">
        <x:f>IF(OR('Session Training Data'!A20="",'Session Training Data'!AF20=""),0,IF(COUNTIFS('Sessions'!$A$5:$A$204,'Session Training Data'!A20,'Sessions'!$B$5:$B$204,'Session Training Data'!AF20)=0,1,0))</x:f>
        <x:v>0</x:v>
      </x:c>
      <x:c r="O24" s="112" t="n">
        <x:f>IF('Session Training Data'!AF20="",0,IF(COUNTIFS('Participants'!$A$5:$A$204,'Session Training Data'!AF20,'Participants'!$D$5:$D$204,"yes")=0,1,0))</x:f>
        <x:v>0</x:v>
      </x:c>
      <x:c r="P24" s="112" t="n">
        <x:f>IF('Session Training Data'!AF20="",0,IF(COUNTIF('Session Training Data'!$AF$5:AF20,'Session Training Data'!AF20)=1,1,0))</x:f>
        <x:v>0</x:v>
      </x:c>
      <x:c r="Q24" s="112" t="n">
        <x:f>IF('Participants'!A20="",0,IF(COUNTIF('Participants'!$A$5:$A$204,'Participants'!A20)&gt;1,1,0))</x:f>
        <x:v>0</x:v>
      </x:c>
      <x:c r="R24" s="112" t="n">
        <x:f>IF('Sessions'!A20="",0,IF(COUNTIF('Sessions'!$A$5:$A$204,'Sessions'!A20)&gt;1,1,0))</x:f>
        <x:v>0</x:v>
      </x:c>
      <x:c r="S24" s="112" t="n">
        <x:f>IF('Attempts'!A20="",0,IF(COUNTIF('Attempts'!$A$5:$A$204,'Attempts'!A20)&gt;1,1,0))</x:f>
        <x:v>0</x:v>
      </x:c>
      <x:c r="T24" s="112" t="n">
        <x:f>IF('Session Training Data'!A20="",0,IF(COUNTIF('Session Training Data'!$A$5:$A$204,'Session Training Data'!A20)&gt;1,1,0))</x:f>
        <x:v>0</x:v>
      </x:c>
    </x:row>
    <x:row r="25" ht="25" customHeight="1">
      <x:c r="A25" s="111" t="str">
        <x:v>Linkage</x:v>
      </x:c>
      <x:c r="B25" s="107" t="str">
        <x:v>Labels with unknown session IDs</x:v>
      </x:c>
      <x:c r="C25" s="111" t="n">
        <x:f>SUM($K$9:$K$208)</x:f>
        <x:v>0</x:v>
      </x:c>
      <x:c r="D25" s="111" t="str">
        <x:f>IF(C25=0,"PASS","ACTION")</x:f>
        <x:v>PASS</x:v>
      </x:c>
      <x:c r="E25" s="107" t="str">
        <x:v>Must be 0</x:v>
      </x:c>
      <x:c r="G25" s="112" t="n">
        <x:f>IF('Sessions'!B21="",0,IF(COUNTIF('Participants'!$A$5:$A$204,'Sessions'!B21)=0,1,0))</x:f>
        <x:v>0</x:v>
      </x:c>
      <x:c r="H25" s="112" t="n">
        <x:f>IF('Attempts'!B21="",0,IF(COUNTIF('Sessions'!$A$5:$A$204,'Attempts'!B21)=0,1,0))</x:f>
        <x:v>0</x:v>
      </x:c>
      <x:c r="I25" s="112" t="n">
        <x:f>IF('Sessions'!A21="",0,IF(COUNTIF('Expert Labels'!$B$5:$B$204,'Sessions'!A21)=0,1,0))</x:f>
        <x:v>0</x:v>
      </x:c>
      <x:c r="J25" s="112" t="n">
        <x:f>IF('Expert Labels'!B21="",0,IF(COUNTIF('Expert Labels'!$B$5:$B$204,'Expert Labels'!B21)&gt;1,1,0))</x:f>
        <x:v>0</x:v>
      </x:c>
      <x:c r="K25" s="112" t="n">
        <x:f>IF('Expert Labels'!B21="",0,IF(COUNTIF('Sessions'!$A$5:$A$204,'Expert Labels'!B21)=0,1,0))</x:f>
        <x:v>0</x:v>
      </x:c>
      <x:c r="L25" s="112" t="n">
        <x:f>IF('Session Training Data'!A21="",0,IF(COUNTIF('Sessions'!$A$5:$A$204,'Session Training Data'!A21)=0,1,0))</x:f>
        <x:v>0</x:v>
      </x:c>
      <x:c r="M25" s="112" t="n">
        <x:f>IF('Session Training Data'!AF21="",0,IF(COUNTIF('Participants'!$A$5:$A$204,'Session Training Data'!AF21)=0,1,0))</x:f>
        <x:v>0</x:v>
      </x:c>
      <x:c r="N25" s="112" t="n">
        <x:f>IF(OR('Session Training Data'!A21="",'Session Training Data'!AF21=""),0,IF(COUNTIFS('Sessions'!$A$5:$A$204,'Session Training Data'!A21,'Sessions'!$B$5:$B$204,'Session Training Data'!AF21)=0,1,0))</x:f>
        <x:v>0</x:v>
      </x:c>
      <x:c r="O25" s="112" t="n">
        <x:f>IF('Session Training Data'!AF21="",0,IF(COUNTIFS('Participants'!$A$5:$A$204,'Session Training Data'!AF21,'Participants'!$D$5:$D$204,"yes")=0,1,0))</x:f>
        <x:v>0</x:v>
      </x:c>
      <x:c r="P25" s="112" t="n">
        <x:f>IF('Session Training Data'!AF21="",0,IF(COUNTIF('Session Training Data'!$AF$5:AF21,'Session Training Data'!AF21)=1,1,0))</x:f>
        <x:v>0</x:v>
      </x:c>
      <x:c r="Q25" s="112" t="n">
        <x:f>IF('Participants'!A21="",0,IF(COUNTIF('Participants'!$A$5:$A$204,'Participants'!A21)&gt;1,1,0))</x:f>
        <x:v>0</x:v>
      </x:c>
      <x:c r="R25" s="112" t="n">
        <x:f>IF('Sessions'!A21="",0,IF(COUNTIF('Sessions'!$A$5:$A$204,'Sessions'!A21)&gt;1,1,0))</x:f>
        <x:v>0</x:v>
      </x:c>
      <x:c r="S25" s="112" t="n">
        <x:f>IF('Attempts'!A21="",0,IF(COUNTIF('Attempts'!$A$5:$A$204,'Attempts'!A21)&gt;1,1,0))</x:f>
        <x:v>0</x:v>
      </x:c>
      <x:c r="T25" s="112" t="n">
        <x:f>IF('Session Training Data'!A21="",0,IF(COUNTIF('Session Training Data'!$A$5:$A$204,'Session Training Data'!A21)&gt;1,1,0))</x:f>
        <x:v>0</x:v>
      </x:c>
    </x:row>
    <x:row r="26" ht="25" customHeight="1">
      <x:c r="A26" s="111" t="str">
        <x:v>Labels</x:v>
      </x:c>
      <x:c r="B26" s="107" t="str">
        <x:v>Low-confidence expert labels</x:v>
      </x:c>
      <x:c r="C26" s="111" t="n">
        <x:f>COUNTIFS('Expert Labels'!$B$5:$B$204,"&lt;&gt;",'Expert Labels'!$E$5:$E$204,"&lt;3")</x:f>
        <x:v>0</x:v>
      </x:c>
      <x:c r="D26" s="111" t="str">
        <x:f>IF(C26=0,"PASS","REVIEW")</x:f>
        <x:v>PASS</x:v>
      </x:c>
      <x:c r="E26" s="107" t="str">
        <x:v>Review every value below 3</x:v>
      </x:c>
      <x:c r="G26" s="112" t="n">
        <x:f>IF('Sessions'!B22="",0,IF(COUNTIF('Participants'!$A$5:$A$204,'Sessions'!B22)=0,1,0))</x:f>
        <x:v>0</x:v>
      </x:c>
      <x:c r="H26" s="112" t="n">
        <x:f>IF('Attempts'!B22="",0,IF(COUNTIF('Sessions'!$A$5:$A$204,'Attempts'!B22)=0,1,0))</x:f>
        <x:v>0</x:v>
      </x:c>
      <x:c r="I26" s="112" t="n">
        <x:f>IF('Sessions'!A22="",0,IF(COUNTIF('Expert Labels'!$B$5:$B$204,'Sessions'!A22)=0,1,0))</x:f>
        <x:v>0</x:v>
      </x:c>
      <x:c r="J26" s="112" t="n">
        <x:f>IF('Expert Labels'!B22="",0,IF(COUNTIF('Expert Labels'!$B$5:$B$204,'Expert Labels'!B22)&gt;1,1,0))</x:f>
        <x:v>0</x:v>
      </x:c>
      <x:c r="K26" s="112" t="n">
        <x:f>IF('Expert Labels'!B22="",0,IF(COUNTIF('Sessions'!$A$5:$A$204,'Expert Labels'!B22)=0,1,0))</x:f>
        <x:v>0</x:v>
      </x:c>
      <x:c r="L26" s="112" t="n">
        <x:f>IF('Session Training Data'!A22="",0,IF(COUNTIF('Sessions'!$A$5:$A$204,'Session Training Data'!A22)=0,1,0))</x:f>
        <x:v>0</x:v>
      </x:c>
      <x:c r="M26" s="112" t="n">
        <x:f>IF('Session Training Data'!AF22="",0,IF(COUNTIF('Participants'!$A$5:$A$204,'Session Training Data'!AF22)=0,1,0))</x:f>
        <x:v>0</x:v>
      </x:c>
      <x:c r="N26" s="112" t="n">
        <x:f>IF(OR('Session Training Data'!A22="",'Session Training Data'!AF22=""),0,IF(COUNTIFS('Sessions'!$A$5:$A$204,'Session Training Data'!A22,'Sessions'!$B$5:$B$204,'Session Training Data'!AF22)=0,1,0))</x:f>
        <x:v>0</x:v>
      </x:c>
      <x:c r="O26" s="112" t="n">
        <x:f>IF('Session Training Data'!AF22="",0,IF(COUNTIFS('Participants'!$A$5:$A$204,'Session Training Data'!AF22,'Participants'!$D$5:$D$204,"yes")=0,1,0))</x:f>
        <x:v>0</x:v>
      </x:c>
      <x:c r="P26" s="112" t="n">
        <x:f>IF('Session Training Data'!AF22="",0,IF(COUNTIF('Session Training Data'!$AF$5:AF22,'Session Training Data'!AF22)=1,1,0))</x:f>
        <x:v>0</x:v>
      </x:c>
      <x:c r="Q26" s="112" t="n">
        <x:f>IF('Participants'!A22="",0,IF(COUNTIF('Participants'!$A$5:$A$204,'Participants'!A22)&gt;1,1,0))</x:f>
        <x:v>0</x:v>
      </x:c>
      <x:c r="R26" s="112" t="n">
        <x:f>IF('Sessions'!A22="",0,IF(COUNTIF('Sessions'!$A$5:$A$204,'Sessions'!A22)&gt;1,1,0))</x:f>
        <x:v>0</x:v>
      </x:c>
      <x:c r="S26" s="112" t="n">
        <x:f>IF('Attempts'!A22="",0,IF(COUNTIF('Attempts'!$A$5:$A$204,'Attempts'!A22)&gt;1,1,0))</x:f>
        <x:v>0</x:v>
      </x:c>
      <x:c r="T26" s="112" t="n">
        <x:f>IF('Session Training Data'!A22="",0,IF(COUNTIF('Session Training Data'!$A$5:$A$204,'Session Training Data'!A22)&gt;1,1,0))</x:f>
        <x:v>0</x:v>
      </x:c>
    </x:row>
    <x:row r="27" ht="25" customHeight="1">
      <x:c r="A27" s="111" t="str">
        <x:v>Training integrity</x:v>
      </x:c>
      <x:c r="B27" s="107" t="str">
        <x:v>Training rows missing session_id</x:v>
      </x:c>
      <x:c r="C27" s="111" t="n">
        <x:f>SUMPRODUCT(--((('Session Training Data'!$A$5:$A$204&lt;&gt;"")+('Session Training Data'!$AF$5:$AF$204&lt;&gt;"")+('Session Training Data'!$AA$5:$AA$204&lt;&gt;"")+('Session Training Data'!$B$5:$B$204&lt;&gt;""))&gt;0)*--('Session Training Data'!$A$5:$A$204=""))</x:f>
        <x:v>0</x:v>
      </x:c>
      <x:c r="D27" s="111" t="str">
        <x:f>IF(C27=0,"PASS","ACTION")</x:f>
        <x:v>PASS</x:v>
      </x:c>
      <x:c r="E27" s="107" t="str">
        <x:v>Must be 0</x:v>
      </x:c>
      <x:c r="G27" s="112" t="n">
        <x:f>IF('Sessions'!B23="",0,IF(COUNTIF('Participants'!$A$5:$A$204,'Sessions'!B23)=0,1,0))</x:f>
        <x:v>0</x:v>
      </x:c>
      <x:c r="H27" s="112" t="n">
        <x:f>IF('Attempts'!B23="",0,IF(COUNTIF('Sessions'!$A$5:$A$204,'Attempts'!B23)=0,1,0))</x:f>
        <x:v>0</x:v>
      </x:c>
      <x:c r="I27" s="112" t="n">
        <x:f>IF('Sessions'!A23="",0,IF(COUNTIF('Expert Labels'!$B$5:$B$204,'Sessions'!A23)=0,1,0))</x:f>
        <x:v>0</x:v>
      </x:c>
      <x:c r="J27" s="112" t="n">
        <x:f>IF('Expert Labels'!B23="",0,IF(COUNTIF('Expert Labels'!$B$5:$B$204,'Expert Labels'!B23)&gt;1,1,0))</x:f>
        <x:v>0</x:v>
      </x:c>
      <x:c r="K27" s="112" t="n">
        <x:f>IF('Expert Labels'!B23="",0,IF(COUNTIF('Sessions'!$A$5:$A$204,'Expert Labels'!B23)=0,1,0))</x:f>
        <x:v>0</x:v>
      </x:c>
      <x:c r="L27" s="112" t="n">
        <x:f>IF('Session Training Data'!A23="",0,IF(COUNTIF('Sessions'!$A$5:$A$204,'Session Training Data'!A23)=0,1,0))</x:f>
        <x:v>0</x:v>
      </x:c>
      <x:c r="M27" s="112" t="n">
        <x:f>IF('Session Training Data'!AF23="",0,IF(COUNTIF('Participants'!$A$5:$A$204,'Session Training Data'!AF23)=0,1,0))</x:f>
        <x:v>0</x:v>
      </x:c>
      <x:c r="N27" s="112" t="n">
        <x:f>IF(OR('Session Training Data'!A23="",'Session Training Data'!AF23=""),0,IF(COUNTIFS('Sessions'!$A$5:$A$204,'Session Training Data'!A23,'Sessions'!$B$5:$B$204,'Session Training Data'!AF23)=0,1,0))</x:f>
        <x:v>0</x:v>
      </x:c>
      <x:c r="O27" s="112" t="n">
        <x:f>IF('Session Training Data'!AF23="",0,IF(COUNTIFS('Participants'!$A$5:$A$204,'Session Training Data'!AF23,'Participants'!$D$5:$D$204,"yes")=0,1,0))</x:f>
        <x:v>0</x:v>
      </x:c>
      <x:c r="P27" s="112" t="n">
        <x:f>IF('Session Training Data'!AF23="",0,IF(COUNTIF('Session Training Data'!$AF$5:AF23,'Session Training Data'!AF23)=1,1,0))</x:f>
        <x:v>0</x:v>
      </x:c>
      <x:c r="Q27" s="112" t="n">
        <x:f>IF('Participants'!A23="",0,IF(COUNTIF('Participants'!$A$5:$A$204,'Participants'!A23)&gt;1,1,0))</x:f>
        <x:v>0</x:v>
      </x:c>
      <x:c r="R27" s="112" t="n">
        <x:f>IF('Sessions'!A23="",0,IF(COUNTIF('Sessions'!$A$5:$A$204,'Sessions'!A23)&gt;1,1,0))</x:f>
        <x:v>0</x:v>
      </x:c>
      <x:c r="S27" s="112" t="n">
        <x:f>IF('Attempts'!A23="",0,IF(COUNTIF('Attempts'!$A$5:$A$204,'Attempts'!A23)&gt;1,1,0))</x:f>
        <x:v>0</x:v>
      </x:c>
      <x:c r="T27" s="112" t="n">
        <x:f>IF('Session Training Data'!A23="",0,IF(COUNTIF('Session Training Data'!$A$5:$A$204,'Session Training Data'!A23)&gt;1,1,0))</x:f>
        <x:v>0</x:v>
      </x:c>
    </x:row>
    <x:row r="28" ht="25" customHeight="1">
      <x:c r="A28" s="111" t="str">
        <x:v>Training integrity</x:v>
      </x:c>
      <x:c r="B28" s="107" t="str">
        <x:v>Training rows missing participant_code</x:v>
      </x:c>
      <x:c r="C28" s="111" t="n">
        <x:f>SUMPRODUCT(--((('Session Training Data'!$A$5:$A$204&lt;&gt;"")+('Session Training Data'!$AF$5:$AF$204&lt;&gt;"")+('Session Training Data'!$AA$5:$AA$204&lt;&gt;"")+('Session Training Data'!$B$5:$B$204&lt;&gt;""))&gt;0)*--('Session Training Data'!$AF$5:$AF$204=""))</x:f>
        <x:v>0</x:v>
      </x:c>
      <x:c r="D28" s="111" t="str">
        <x:f>IF(C28=0,"PASS","ACTION")</x:f>
        <x:v>PASS</x:v>
      </x:c>
      <x:c r="E28" s="107" t="str">
        <x:v>Must be 0</x:v>
      </x:c>
      <x:c r="G28" s="112" t="n">
        <x:f>IF('Sessions'!B24="",0,IF(COUNTIF('Participants'!$A$5:$A$204,'Sessions'!B24)=0,1,0))</x:f>
        <x:v>0</x:v>
      </x:c>
      <x:c r="H28" s="112" t="n">
        <x:f>IF('Attempts'!B24="",0,IF(COUNTIF('Sessions'!$A$5:$A$204,'Attempts'!B24)=0,1,0))</x:f>
        <x:v>0</x:v>
      </x:c>
      <x:c r="I28" s="112" t="n">
        <x:f>IF('Sessions'!A24="",0,IF(COUNTIF('Expert Labels'!$B$5:$B$204,'Sessions'!A24)=0,1,0))</x:f>
        <x:v>0</x:v>
      </x:c>
      <x:c r="J28" s="112" t="n">
        <x:f>IF('Expert Labels'!B24="",0,IF(COUNTIF('Expert Labels'!$B$5:$B$204,'Expert Labels'!B24)&gt;1,1,0))</x:f>
        <x:v>0</x:v>
      </x:c>
      <x:c r="K28" s="112" t="n">
        <x:f>IF('Expert Labels'!B24="",0,IF(COUNTIF('Sessions'!$A$5:$A$204,'Expert Labels'!B24)=0,1,0))</x:f>
        <x:v>0</x:v>
      </x:c>
      <x:c r="L28" s="112" t="n">
        <x:f>IF('Session Training Data'!A24="",0,IF(COUNTIF('Sessions'!$A$5:$A$204,'Session Training Data'!A24)=0,1,0))</x:f>
        <x:v>0</x:v>
      </x:c>
      <x:c r="M28" s="112" t="n">
        <x:f>IF('Session Training Data'!AF24="",0,IF(COUNTIF('Participants'!$A$5:$A$204,'Session Training Data'!AF24)=0,1,0))</x:f>
        <x:v>0</x:v>
      </x:c>
      <x:c r="N28" s="112" t="n">
        <x:f>IF(OR('Session Training Data'!A24="",'Session Training Data'!AF24=""),0,IF(COUNTIFS('Sessions'!$A$5:$A$204,'Session Training Data'!A24,'Sessions'!$B$5:$B$204,'Session Training Data'!AF24)=0,1,0))</x:f>
        <x:v>0</x:v>
      </x:c>
      <x:c r="O28" s="112" t="n">
        <x:f>IF('Session Training Data'!AF24="",0,IF(COUNTIFS('Participants'!$A$5:$A$204,'Session Training Data'!AF24,'Participants'!$D$5:$D$204,"yes")=0,1,0))</x:f>
        <x:v>0</x:v>
      </x:c>
      <x:c r="P28" s="112" t="n">
        <x:f>IF('Session Training Data'!AF24="",0,IF(COUNTIF('Session Training Data'!$AF$5:AF24,'Session Training Data'!AF24)=1,1,0))</x:f>
        <x:v>0</x:v>
      </x:c>
      <x:c r="Q28" s="112" t="n">
        <x:f>IF('Participants'!A24="",0,IF(COUNTIF('Participants'!$A$5:$A$204,'Participants'!A24)&gt;1,1,0))</x:f>
        <x:v>0</x:v>
      </x:c>
      <x:c r="R28" s="112" t="n">
        <x:f>IF('Sessions'!A24="",0,IF(COUNTIF('Sessions'!$A$5:$A$204,'Sessions'!A24)&gt;1,1,0))</x:f>
        <x:v>0</x:v>
      </x:c>
      <x:c r="S28" s="112" t="n">
        <x:f>IF('Attempts'!A24="",0,IF(COUNTIF('Attempts'!$A$5:$A$204,'Attempts'!A24)&gt;1,1,0))</x:f>
        <x:v>0</x:v>
      </x:c>
      <x:c r="T28" s="112" t="n">
        <x:f>IF('Session Training Data'!A24="",0,IF(COUNTIF('Session Training Data'!$A$5:$A$204,'Session Training Data'!A24)&gt;1,1,0))</x:f>
        <x:v>0</x:v>
      </x:c>
    </x:row>
    <x:row r="29" ht="25" customHeight="1">
      <x:c r="A29" s="111" t="str">
        <x:v>Training integrity</x:v>
      </x:c>
      <x:c r="B29" s="107" t="str">
        <x:v>Training rows missing support label</x:v>
      </x:c>
      <x:c r="C29" s="111" t="n">
        <x:f>SUMPRODUCT(--((('Session Training Data'!$A$5:$A$204&lt;&gt;"")+('Session Training Data'!$AF$5:$AF$204&lt;&gt;"")+('Session Training Data'!$AA$5:$AA$204&lt;&gt;"")+('Session Training Data'!$B$5:$B$204&lt;&gt;""))&gt;0)*--('Session Training Data'!$AA$5:$AA$204=""))</x:f>
        <x:v>0</x:v>
      </x:c>
      <x:c r="D29" s="111" t="str">
        <x:f>IF(C29=0,"PASS","ACTION")</x:f>
        <x:v>PASS</x:v>
      </x:c>
      <x:c r="E29" s="107" t="str">
        <x:v>Must be 0</x:v>
      </x:c>
      <x:c r="G29" s="112" t="n">
        <x:f>IF('Sessions'!B25="",0,IF(COUNTIF('Participants'!$A$5:$A$204,'Sessions'!B25)=0,1,0))</x:f>
        <x:v>0</x:v>
      </x:c>
      <x:c r="H29" s="112" t="n">
        <x:f>IF('Attempts'!B25="",0,IF(COUNTIF('Sessions'!$A$5:$A$204,'Attempts'!B25)=0,1,0))</x:f>
        <x:v>0</x:v>
      </x:c>
      <x:c r="I29" s="112" t="n">
        <x:f>IF('Sessions'!A25="",0,IF(COUNTIF('Expert Labels'!$B$5:$B$204,'Sessions'!A25)=0,1,0))</x:f>
        <x:v>0</x:v>
      </x:c>
      <x:c r="J29" s="112" t="n">
        <x:f>IF('Expert Labels'!B25="",0,IF(COUNTIF('Expert Labels'!$B$5:$B$204,'Expert Labels'!B25)&gt;1,1,0))</x:f>
        <x:v>0</x:v>
      </x:c>
      <x:c r="K29" s="112" t="n">
        <x:f>IF('Expert Labels'!B25="",0,IF(COUNTIF('Sessions'!$A$5:$A$204,'Expert Labels'!B25)=0,1,0))</x:f>
        <x:v>0</x:v>
      </x:c>
      <x:c r="L29" s="112" t="n">
        <x:f>IF('Session Training Data'!A25="",0,IF(COUNTIF('Sessions'!$A$5:$A$204,'Session Training Data'!A25)=0,1,0))</x:f>
        <x:v>0</x:v>
      </x:c>
      <x:c r="M29" s="112" t="n">
        <x:f>IF('Session Training Data'!AF25="",0,IF(COUNTIF('Participants'!$A$5:$A$204,'Session Training Data'!AF25)=0,1,0))</x:f>
        <x:v>0</x:v>
      </x:c>
      <x:c r="N29" s="112" t="n">
        <x:f>IF(OR('Session Training Data'!A25="",'Session Training Data'!AF25=""),0,IF(COUNTIFS('Sessions'!$A$5:$A$204,'Session Training Data'!A25,'Sessions'!$B$5:$B$204,'Session Training Data'!AF25)=0,1,0))</x:f>
        <x:v>0</x:v>
      </x:c>
      <x:c r="O29" s="112" t="n">
        <x:f>IF('Session Training Data'!AF25="",0,IF(COUNTIFS('Participants'!$A$5:$A$204,'Session Training Data'!AF25,'Participants'!$D$5:$D$204,"yes")=0,1,0))</x:f>
        <x:v>0</x:v>
      </x:c>
      <x:c r="P29" s="112" t="n">
        <x:f>IF('Session Training Data'!AF25="",0,IF(COUNTIF('Session Training Data'!$AF$5:AF25,'Session Training Data'!AF25)=1,1,0))</x:f>
        <x:v>0</x:v>
      </x:c>
      <x:c r="Q29" s="112" t="n">
        <x:f>IF('Participants'!A25="",0,IF(COUNTIF('Participants'!$A$5:$A$204,'Participants'!A25)&gt;1,1,0))</x:f>
        <x:v>0</x:v>
      </x:c>
      <x:c r="R29" s="112" t="n">
        <x:f>IF('Sessions'!A25="",0,IF(COUNTIF('Sessions'!$A$5:$A$204,'Sessions'!A25)&gt;1,1,0))</x:f>
        <x:v>0</x:v>
      </x:c>
      <x:c r="S29" s="112" t="n">
        <x:f>IF('Attempts'!A25="",0,IF(COUNTIF('Attempts'!$A$5:$A$204,'Attempts'!A25)&gt;1,1,0))</x:f>
        <x:v>0</x:v>
      </x:c>
      <x:c r="T29" s="112" t="n">
        <x:f>IF('Session Training Data'!A25="",0,IF(COUNTIF('Session Training Data'!$A$5:$A$204,'Session Training Data'!A25)&gt;1,1,0))</x:f>
        <x:v>0</x:v>
      </x:c>
    </x:row>
    <x:row r="30" ht="25" customHeight="1">
      <x:c r="A30" s="111" t="str">
        <x:v>Training integrity</x:v>
      </x:c>
      <x:c r="B30" s="107" t="str">
        <x:v>Training rows with invalid support label</x:v>
      </x:c>
      <x:c r="C30" s="111" t="n">
        <x:f>SUMPRODUCT(--((('Session Training Data'!$A$5:$A$204&lt;&gt;"")+('Session Training Data'!$AF$5:$AF$204&lt;&gt;"")+('Session Training Data'!$AA$5:$AA$204&lt;&gt;"")+('Session Training Data'!$B$5:$B$204&lt;&gt;""))&gt;0)*--('Session Training Data'!$AA$5:$AA$204&lt;&gt;"")*--('Session Training Data'!$AA$5:$AA$204&lt;&gt;"low_support")*--('Session Training Data'!$AA$5:$AA$204&lt;&gt;"medium_support")*--('Session Training Data'!$AA$5:$AA$204&lt;&gt;"high_support"))</x:f>
        <x:v>0</x:v>
      </x:c>
      <x:c r="D30" s="111" t="str">
        <x:f>IF(C30=0,"PASS","ACTION")</x:f>
        <x:v>PASS</x:v>
      </x:c>
      <x:c r="E30" s="107" t="str">
        <x:v>Must be 0</x:v>
      </x:c>
      <x:c r="G30" s="112" t="n">
        <x:f>IF('Sessions'!B26="",0,IF(COUNTIF('Participants'!$A$5:$A$204,'Sessions'!B26)=0,1,0))</x:f>
        <x:v>0</x:v>
      </x:c>
      <x:c r="H30" s="112" t="n">
        <x:f>IF('Attempts'!B26="",0,IF(COUNTIF('Sessions'!$A$5:$A$204,'Attempts'!B26)=0,1,0))</x:f>
        <x:v>0</x:v>
      </x:c>
      <x:c r="I30" s="112" t="n">
        <x:f>IF('Sessions'!A26="",0,IF(COUNTIF('Expert Labels'!$B$5:$B$204,'Sessions'!A26)=0,1,0))</x:f>
        <x:v>0</x:v>
      </x:c>
      <x:c r="J30" s="112" t="n">
        <x:f>IF('Expert Labels'!B26="",0,IF(COUNTIF('Expert Labels'!$B$5:$B$204,'Expert Labels'!B26)&gt;1,1,0))</x:f>
        <x:v>0</x:v>
      </x:c>
      <x:c r="K30" s="112" t="n">
        <x:f>IF('Expert Labels'!B26="",0,IF(COUNTIF('Sessions'!$A$5:$A$204,'Expert Labels'!B26)=0,1,0))</x:f>
        <x:v>0</x:v>
      </x:c>
      <x:c r="L30" s="112" t="n">
        <x:f>IF('Session Training Data'!A26="",0,IF(COUNTIF('Sessions'!$A$5:$A$204,'Session Training Data'!A26)=0,1,0))</x:f>
        <x:v>0</x:v>
      </x:c>
      <x:c r="M30" s="112" t="n">
        <x:f>IF('Session Training Data'!AF26="",0,IF(COUNTIF('Participants'!$A$5:$A$204,'Session Training Data'!AF26)=0,1,0))</x:f>
        <x:v>0</x:v>
      </x:c>
      <x:c r="N30" s="112" t="n">
        <x:f>IF(OR('Session Training Data'!A26="",'Session Training Data'!AF26=""),0,IF(COUNTIFS('Sessions'!$A$5:$A$204,'Session Training Data'!A26,'Sessions'!$B$5:$B$204,'Session Training Data'!AF26)=0,1,0))</x:f>
        <x:v>0</x:v>
      </x:c>
      <x:c r="O30" s="112" t="n">
        <x:f>IF('Session Training Data'!AF26="",0,IF(COUNTIFS('Participants'!$A$5:$A$204,'Session Training Data'!AF26,'Participants'!$D$5:$D$204,"yes")=0,1,0))</x:f>
        <x:v>0</x:v>
      </x:c>
      <x:c r="P30" s="112" t="n">
        <x:f>IF('Session Training Data'!AF26="",0,IF(COUNTIF('Session Training Data'!$AF$5:AF26,'Session Training Data'!AF26)=1,1,0))</x:f>
        <x:v>0</x:v>
      </x:c>
      <x:c r="Q30" s="112" t="n">
        <x:f>IF('Participants'!A26="",0,IF(COUNTIF('Participants'!$A$5:$A$204,'Participants'!A26)&gt;1,1,0))</x:f>
        <x:v>0</x:v>
      </x:c>
      <x:c r="R30" s="112" t="n">
        <x:f>IF('Sessions'!A26="",0,IF(COUNTIF('Sessions'!$A$5:$A$204,'Sessions'!A26)&gt;1,1,0))</x:f>
        <x:v>0</x:v>
      </x:c>
      <x:c r="S30" s="112" t="n">
        <x:f>IF('Attempts'!A26="",0,IF(COUNTIF('Attempts'!$A$5:$A$204,'Attempts'!A26)&gt;1,1,0))</x:f>
        <x:v>0</x:v>
      </x:c>
      <x:c r="T30" s="112" t="n">
        <x:f>IF('Session Training Data'!A26="",0,IF(COUNTIF('Session Training Data'!$A$5:$A$204,'Session Training Data'!A26)&gt;1,1,0))</x:f>
        <x:v>0</x:v>
      </x:c>
    </x:row>
    <x:row r="31" ht="25" customHeight="1">
      <x:c r="A31" s="111" t="str">
        <x:v>Training integrity</x:v>
      </x:c>
      <x:c r="B31" s="107" t="str">
        <x:v>Duplicate training session-ID rows</x:v>
      </x:c>
      <x:c r="C31" s="111" t="n">
        <x:f>SUM($T$9:$T$208)</x:f>
        <x:v>0</x:v>
      </x:c>
      <x:c r="D31" s="111" t="str">
        <x:f>IF(C31=0,"PASS","ACTION")</x:f>
        <x:v>PASS</x:v>
      </x:c>
      <x:c r="E31" s="107" t="str">
        <x:v>Must be 0</x:v>
      </x:c>
      <x:c r="G31" s="112" t="n">
        <x:f>IF('Sessions'!B27="",0,IF(COUNTIF('Participants'!$A$5:$A$204,'Sessions'!B27)=0,1,0))</x:f>
        <x:v>0</x:v>
      </x:c>
      <x:c r="H31" s="112" t="n">
        <x:f>IF('Attempts'!B27="",0,IF(COUNTIF('Sessions'!$A$5:$A$204,'Attempts'!B27)=0,1,0))</x:f>
        <x:v>0</x:v>
      </x:c>
      <x:c r="I31" s="112" t="n">
        <x:f>IF('Sessions'!A27="",0,IF(COUNTIF('Expert Labels'!$B$5:$B$204,'Sessions'!A27)=0,1,0))</x:f>
        <x:v>0</x:v>
      </x:c>
      <x:c r="J31" s="112" t="n">
        <x:f>IF('Expert Labels'!B27="",0,IF(COUNTIF('Expert Labels'!$B$5:$B$204,'Expert Labels'!B27)&gt;1,1,0))</x:f>
        <x:v>0</x:v>
      </x:c>
      <x:c r="K31" s="112" t="n">
        <x:f>IF('Expert Labels'!B27="",0,IF(COUNTIF('Sessions'!$A$5:$A$204,'Expert Labels'!B27)=0,1,0))</x:f>
        <x:v>0</x:v>
      </x:c>
      <x:c r="L31" s="112" t="n">
        <x:f>IF('Session Training Data'!A27="",0,IF(COUNTIF('Sessions'!$A$5:$A$204,'Session Training Data'!A27)=0,1,0))</x:f>
        <x:v>0</x:v>
      </x:c>
      <x:c r="M31" s="112" t="n">
        <x:f>IF('Session Training Data'!AF27="",0,IF(COUNTIF('Participants'!$A$5:$A$204,'Session Training Data'!AF27)=0,1,0))</x:f>
        <x:v>0</x:v>
      </x:c>
      <x:c r="N31" s="112" t="n">
        <x:f>IF(OR('Session Training Data'!A27="",'Session Training Data'!AF27=""),0,IF(COUNTIFS('Sessions'!$A$5:$A$204,'Session Training Data'!A27,'Sessions'!$B$5:$B$204,'Session Training Data'!AF27)=0,1,0))</x:f>
        <x:v>0</x:v>
      </x:c>
      <x:c r="O31" s="112" t="n">
        <x:f>IF('Session Training Data'!AF27="",0,IF(COUNTIFS('Participants'!$A$5:$A$204,'Session Training Data'!AF27,'Participants'!$D$5:$D$204,"yes")=0,1,0))</x:f>
        <x:v>0</x:v>
      </x:c>
      <x:c r="P31" s="112" t="n">
        <x:f>IF('Session Training Data'!AF27="",0,IF(COUNTIF('Session Training Data'!$AF$5:AF27,'Session Training Data'!AF27)=1,1,0))</x:f>
        <x:v>0</x:v>
      </x:c>
      <x:c r="Q31" s="112" t="n">
        <x:f>IF('Participants'!A27="",0,IF(COUNTIF('Participants'!$A$5:$A$204,'Participants'!A27)&gt;1,1,0))</x:f>
        <x:v>0</x:v>
      </x:c>
      <x:c r="R31" s="112" t="n">
        <x:f>IF('Sessions'!A27="",0,IF(COUNTIF('Sessions'!$A$5:$A$204,'Sessions'!A27)&gt;1,1,0))</x:f>
        <x:v>0</x:v>
      </x:c>
      <x:c r="S31" s="112" t="n">
        <x:f>IF('Attempts'!A27="",0,IF(COUNTIF('Attempts'!$A$5:$A$204,'Attempts'!A27)&gt;1,1,0))</x:f>
        <x:v>0</x:v>
      </x:c>
      <x:c r="T31" s="112" t="n">
        <x:f>IF('Session Training Data'!A27="",0,IF(COUNTIF('Session Training Data'!$A$5:$A$204,'Session Training Data'!A27)&gt;1,1,0))</x:f>
        <x:v>0</x:v>
      </x:c>
    </x:row>
    <x:row r="32" ht="25" customHeight="1">
      <x:c r="A32" s="111" t="str">
        <x:v>Training linkage</x:v>
      </x:c>
      <x:c r="B32" s="107" t="str">
        <x:v>Training rows with unknown session IDs</x:v>
      </x:c>
      <x:c r="C32" s="111" t="n">
        <x:f>SUM($L$9:$L$208)</x:f>
        <x:v>0</x:v>
      </x:c>
      <x:c r="D32" s="111" t="str">
        <x:f>IF(C32=0,"PASS","ACTION")</x:f>
        <x:v>PASS</x:v>
      </x:c>
      <x:c r="E32" s="107" t="str">
        <x:v>Must be 0</x:v>
      </x:c>
      <x:c r="G32" s="112" t="n">
        <x:f>IF('Sessions'!B28="",0,IF(COUNTIF('Participants'!$A$5:$A$204,'Sessions'!B28)=0,1,0))</x:f>
        <x:v>0</x:v>
      </x:c>
      <x:c r="H32" s="112" t="n">
        <x:f>IF('Attempts'!B28="",0,IF(COUNTIF('Sessions'!$A$5:$A$204,'Attempts'!B28)=0,1,0))</x:f>
        <x:v>0</x:v>
      </x:c>
      <x:c r="I32" s="112" t="n">
        <x:f>IF('Sessions'!A28="",0,IF(COUNTIF('Expert Labels'!$B$5:$B$204,'Sessions'!A28)=0,1,0))</x:f>
        <x:v>0</x:v>
      </x:c>
      <x:c r="J32" s="112" t="n">
        <x:f>IF('Expert Labels'!B28="",0,IF(COUNTIF('Expert Labels'!$B$5:$B$204,'Expert Labels'!B28)&gt;1,1,0))</x:f>
        <x:v>0</x:v>
      </x:c>
      <x:c r="K32" s="112" t="n">
        <x:f>IF('Expert Labels'!B28="",0,IF(COUNTIF('Sessions'!$A$5:$A$204,'Expert Labels'!B28)=0,1,0))</x:f>
        <x:v>0</x:v>
      </x:c>
      <x:c r="L32" s="112" t="n">
        <x:f>IF('Session Training Data'!A28="",0,IF(COUNTIF('Sessions'!$A$5:$A$204,'Session Training Data'!A28)=0,1,0))</x:f>
        <x:v>0</x:v>
      </x:c>
      <x:c r="M32" s="112" t="n">
        <x:f>IF('Session Training Data'!AF28="",0,IF(COUNTIF('Participants'!$A$5:$A$204,'Session Training Data'!AF28)=0,1,0))</x:f>
        <x:v>0</x:v>
      </x:c>
      <x:c r="N32" s="112" t="n">
        <x:f>IF(OR('Session Training Data'!A28="",'Session Training Data'!AF28=""),0,IF(COUNTIFS('Sessions'!$A$5:$A$204,'Session Training Data'!A28,'Sessions'!$B$5:$B$204,'Session Training Data'!AF28)=0,1,0))</x:f>
        <x:v>0</x:v>
      </x:c>
      <x:c r="O32" s="112" t="n">
        <x:f>IF('Session Training Data'!AF28="",0,IF(COUNTIFS('Participants'!$A$5:$A$204,'Session Training Data'!AF28,'Participants'!$D$5:$D$204,"yes")=0,1,0))</x:f>
        <x:v>0</x:v>
      </x:c>
      <x:c r="P32" s="112" t="n">
        <x:f>IF('Session Training Data'!AF28="",0,IF(COUNTIF('Session Training Data'!$AF$5:AF28,'Session Training Data'!AF28)=1,1,0))</x:f>
        <x:v>0</x:v>
      </x:c>
      <x:c r="Q32" s="112" t="n">
        <x:f>IF('Participants'!A28="",0,IF(COUNTIF('Participants'!$A$5:$A$204,'Participants'!A28)&gt;1,1,0))</x:f>
        <x:v>0</x:v>
      </x:c>
      <x:c r="R32" s="112" t="n">
        <x:f>IF('Sessions'!A28="",0,IF(COUNTIF('Sessions'!$A$5:$A$204,'Sessions'!A28)&gt;1,1,0))</x:f>
        <x:v>0</x:v>
      </x:c>
      <x:c r="S32" s="112" t="n">
        <x:f>IF('Attempts'!A28="",0,IF(COUNTIF('Attempts'!$A$5:$A$204,'Attempts'!A28)&gt;1,1,0))</x:f>
        <x:v>0</x:v>
      </x:c>
      <x:c r="T32" s="112" t="n">
        <x:f>IF('Session Training Data'!A28="",0,IF(COUNTIF('Session Training Data'!$A$5:$A$204,'Session Training Data'!A28)&gt;1,1,0))</x:f>
        <x:v>0</x:v>
      </x:c>
    </x:row>
    <x:row r="33" ht="25" customHeight="1">
      <x:c r="A33" s="111" t="str">
        <x:v>Training linkage</x:v>
      </x:c>
      <x:c r="B33" s="107" t="str">
        <x:v>Training rows with unknown participant codes</x:v>
      </x:c>
      <x:c r="C33" s="111" t="n">
        <x:f>SUM($M$9:$M$208)</x:f>
        <x:v>0</x:v>
      </x:c>
      <x:c r="D33" s="111" t="str">
        <x:f>IF(C33=0,"PASS","ACTION")</x:f>
        <x:v>PASS</x:v>
      </x:c>
      <x:c r="E33" s="107" t="str">
        <x:v>Must be 0</x:v>
      </x:c>
      <x:c r="G33" s="112" t="n">
        <x:f>IF('Sessions'!B29="",0,IF(COUNTIF('Participants'!$A$5:$A$204,'Sessions'!B29)=0,1,0))</x:f>
        <x:v>0</x:v>
      </x:c>
      <x:c r="H33" s="112" t="n">
        <x:f>IF('Attempts'!B29="",0,IF(COUNTIF('Sessions'!$A$5:$A$204,'Attempts'!B29)=0,1,0))</x:f>
        <x:v>0</x:v>
      </x:c>
      <x:c r="I33" s="112" t="n">
        <x:f>IF('Sessions'!A29="",0,IF(COUNTIF('Expert Labels'!$B$5:$B$204,'Sessions'!A29)=0,1,0))</x:f>
        <x:v>0</x:v>
      </x:c>
      <x:c r="J33" s="112" t="n">
        <x:f>IF('Expert Labels'!B29="",0,IF(COUNTIF('Expert Labels'!$B$5:$B$204,'Expert Labels'!B29)&gt;1,1,0))</x:f>
        <x:v>0</x:v>
      </x:c>
      <x:c r="K33" s="112" t="n">
        <x:f>IF('Expert Labels'!B29="",0,IF(COUNTIF('Sessions'!$A$5:$A$204,'Expert Labels'!B29)=0,1,0))</x:f>
        <x:v>0</x:v>
      </x:c>
      <x:c r="L33" s="112" t="n">
        <x:f>IF('Session Training Data'!A29="",0,IF(COUNTIF('Sessions'!$A$5:$A$204,'Session Training Data'!A29)=0,1,0))</x:f>
        <x:v>0</x:v>
      </x:c>
      <x:c r="M33" s="112" t="n">
        <x:f>IF('Session Training Data'!AF29="",0,IF(COUNTIF('Participants'!$A$5:$A$204,'Session Training Data'!AF29)=0,1,0))</x:f>
        <x:v>0</x:v>
      </x:c>
      <x:c r="N33" s="112" t="n">
        <x:f>IF(OR('Session Training Data'!A29="",'Session Training Data'!AF29=""),0,IF(COUNTIFS('Sessions'!$A$5:$A$204,'Session Training Data'!A29,'Sessions'!$B$5:$B$204,'Session Training Data'!AF29)=0,1,0))</x:f>
        <x:v>0</x:v>
      </x:c>
      <x:c r="O33" s="112" t="n">
        <x:f>IF('Session Training Data'!AF29="",0,IF(COUNTIFS('Participants'!$A$5:$A$204,'Session Training Data'!AF29,'Participants'!$D$5:$D$204,"yes")=0,1,0))</x:f>
        <x:v>0</x:v>
      </x:c>
      <x:c r="P33" s="112" t="n">
        <x:f>IF('Session Training Data'!AF29="",0,IF(COUNTIF('Session Training Data'!$AF$5:AF29,'Session Training Data'!AF29)=1,1,0))</x:f>
        <x:v>0</x:v>
      </x:c>
      <x:c r="Q33" s="112" t="n">
        <x:f>IF('Participants'!A29="",0,IF(COUNTIF('Participants'!$A$5:$A$204,'Participants'!A29)&gt;1,1,0))</x:f>
        <x:v>0</x:v>
      </x:c>
      <x:c r="R33" s="112" t="n">
        <x:f>IF('Sessions'!A29="",0,IF(COUNTIF('Sessions'!$A$5:$A$204,'Sessions'!A29)&gt;1,1,0))</x:f>
        <x:v>0</x:v>
      </x:c>
      <x:c r="S33" s="112" t="n">
        <x:f>IF('Attempts'!A29="",0,IF(COUNTIF('Attempts'!$A$5:$A$204,'Attempts'!A29)&gt;1,1,0))</x:f>
        <x:v>0</x:v>
      </x:c>
      <x:c r="T33" s="112" t="n">
        <x:f>IF('Session Training Data'!A29="",0,IF(COUNTIF('Session Training Data'!$A$5:$A$204,'Session Training Data'!A29)&gt;1,1,0))</x:f>
        <x:v>0</x:v>
      </x:c>
    </x:row>
    <x:row r="34" ht="25" customHeight="1">
      <x:c r="A34" s="111" t="str">
        <x:v>Training linkage</x:v>
      </x:c>
      <x:c r="B34" s="107" t="str">
        <x:v>Training session/participant mismatches</x:v>
      </x:c>
      <x:c r="C34" s="111" t="n">
        <x:f>SUM($N$9:$N$208)</x:f>
        <x:v>0</x:v>
      </x:c>
      <x:c r="D34" s="111" t="str">
        <x:f>IF(C34=0,"PASS","ACTION")</x:f>
        <x:v>PASS</x:v>
      </x:c>
      <x:c r="E34" s="107" t="str">
        <x:v>Must be 0</x:v>
      </x:c>
      <x:c r="G34" s="112" t="n">
        <x:f>IF('Sessions'!B30="",0,IF(COUNTIF('Participants'!$A$5:$A$204,'Sessions'!B30)=0,1,0))</x:f>
        <x:v>0</x:v>
      </x:c>
      <x:c r="H34" s="112" t="n">
        <x:f>IF('Attempts'!B30="",0,IF(COUNTIF('Sessions'!$A$5:$A$204,'Attempts'!B30)=0,1,0))</x:f>
        <x:v>0</x:v>
      </x:c>
      <x:c r="I34" s="112" t="n">
        <x:f>IF('Sessions'!A30="",0,IF(COUNTIF('Expert Labels'!$B$5:$B$204,'Sessions'!A30)=0,1,0))</x:f>
        <x:v>0</x:v>
      </x:c>
      <x:c r="J34" s="112" t="n">
        <x:f>IF('Expert Labels'!B30="",0,IF(COUNTIF('Expert Labels'!$B$5:$B$204,'Expert Labels'!B30)&gt;1,1,0))</x:f>
        <x:v>0</x:v>
      </x:c>
      <x:c r="K34" s="112" t="n">
        <x:f>IF('Expert Labels'!B30="",0,IF(COUNTIF('Sessions'!$A$5:$A$204,'Expert Labels'!B30)=0,1,0))</x:f>
        <x:v>0</x:v>
      </x:c>
      <x:c r="L34" s="112" t="n">
        <x:f>IF('Session Training Data'!A30="",0,IF(COUNTIF('Sessions'!$A$5:$A$204,'Session Training Data'!A30)=0,1,0))</x:f>
        <x:v>0</x:v>
      </x:c>
      <x:c r="M34" s="112" t="n">
        <x:f>IF('Session Training Data'!AF30="",0,IF(COUNTIF('Participants'!$A$5:$A$204,'Session Training Data'!AF30)=0,1,0))</x:f>
        <x:v>0</x:v>
      </x:c>
      <x:c r="N34" s="112" t="n">
        <x:f>IF(OR('Session Training Data'!A30="",'Session Training Data'!AF30=""),0,IF(COUNTIFS('Sessions'!$A$5:$A$204,'Session Training Data'!A30,'Sessions'!$B$5:$B$204,'Session Training Data'!AF30)=0,1,0))</x:f>
        <x:v>0</x:v>
      </x:c>
      <x:c r="O34" s="112" t="n">
        <x:f>IF('Session Training Data'!AF30="",0,IF(COUNTIFS('Participants'!$A$5:$A$204,'Session Training Data'!AF30,'Participants'!$D$5:$D$204,"yes")=0,1,0))</x:f>
        <x:v>0</x:v>
      </x:c>
      <x:c r="P34" s="112" t="n">
        <x:f>IF('Session Training Data'!AF30="",0,IF(COUNTIF('Session Training Data'!$AF$5:AF30,'Session Training Data'!AF30)=1,1,0))</x:f>
        <x:v>0</x:v>
      </x:c>
      <x:c r="Q34" s="112" t="n">
        <x:f>IF('Participants'!A30="",0,IF(COUNTIF('Participants'!$A$5:$A$204,'Participants'!A30)&gt;1,1,0))</x:f>
        <x:v>0</x:v>
      </x:c>
      <x:c r="R34" s="112" t="n">
        <x:f>IF('Sessions'!A30="",0,IF(COUNTIF('Sessions'!$A$5:$A$204,'Sessions'!A30)&gt;1,1,0))</x:f>
        <x:v>0</x:v>
      </x:c>
      <x:c r="S34" s="112" t="n">
        <x:f>IF('Attempts'!A30="",0,IF(COUNTIF('Attempts'!$A$5:$A$204,'Attempts'!A30)&gt;1,1,0))</x:f>
        <x:v>0</x:v>
      </x:c>
      <x:c r="T34" s="112" t="n">
        <x:f>IF('Session Training Data'!A30="",0,IF(COUNTIF('Session Training Data'!$A$5:$A$204,'Session Training Data'!A30)&gt;1,1,0))</x:f>
        <x:v>0</x:v>
      </x:c>
    </x:row>
    <x:row r="35" ht="25" customHeight="1">
      <x:c r="A35" s="111" t="str">
        <x:v>Consent</x:v>
      </x:c>
      <x:c r="B35" s="107" t="str">
        <x:v>Training participants without confirmed consent</x:v>
      </x:c>
      <x:c r="C35" s="111" t="n">
        <x:f>SUM($O$9:$O$208)</x:f>
        <x:v>0</x:v>
      </x:c>
      <x:c r="D35" s="111" t="str">
        <x:f>IF(C35=0,"PASS","ACTION")</x:f>
        <x:v>PASS</x:v>
      </x:c>
      <x:c r="E35" s="107" t="str">
        <x:v>Must be 0</x:v>
      </x:c>
      <x:c r="G35" s="112" t="n">
        <x:f>IF('Sessions'!B31="",0,IF(COUNTIF('Participants'!$A$5:$A$204,'Sessions'!B31)=0,1,0))</x:f>
        <x:v>0</x:v>
      </x:c>
      <x:c r="H35" s="112" t="n">
        <x:f>IF('Attempts'!B31="",0,IF(COUNTIF('Sessions'!$A$5:$A$204,'Attempts'!B31)=0,1,0))</x:f>
        <x:v>0</x:v>
      </x:c>
      <x:c r="I35" s="112" t="n">
        <x:f>IF('Sessions'!A31="",0,IF(COUNTIF('Expert Labels'!$B$5:$B$204,'Sessions'!A31)=0,1,0))</x:f>
        <x:v>0</x:v>
      </x:c>
      <x:c r="J35" s="112" t="n">
        <x:f>IF('Expert Labels'!B31="",0,IF(COUNTIF('Expert Labels'!$B$5:$B$204,'Expert Labels'!B31)&gt;1,1,0))</x:f>
        <x:v>0</x:v>
      </x:c>
      <x:c r="K35" s="112" t="n">
        <x:f>IF('Expert Labels'!B31="",0,IF(COUNTIF('Sessions'!$A$5:$A$204,'Expert Labels'!B31)=0,1,0))</x:f>
        <x:v>0</x:v>
      </x:c>
      <x:c r="L35" s="112" t="n">
        <x:f>IF('Session Training Data'!A31="",0,IF(COUNTIF('Sessions'!$A$5:$A$204,'Session Training Data'!A31)=0,1,0))</x:f>
        <x:v>0</x:v>
      </x:c>
      <x:c r="M35" s="112" t="n">
        <x:f>IF('Session Training Data'!AF31="",0,IF(COUNTIF('Participants'!$A$5:$A$204,'Session Training Data'!AF31)=0,1,0))</x:f>
        <x:v>0</x:v>
      </x:c>
      <x:c r="N35" s="112" t="n">
        <x:f>IF(OR('Session Training Data'!A31="",'Session Training Data'!AF31=""),0,IF(COUNTIFS('Sessions'!$A$5:$A$204,'Session Training Data'!A31,'Sessions'!$B$5:$B$204,'Session Training Data'!AF31)=0,1,0))</x:f>
        <x:v>0</x:v>
      </x:c>
      <x:c r="O35" s="112" t="n">
        <x:f>IF('Session Training Data'!AF31="",0,IF(COUNTIFS('Participants'!$A$5:$A$204,'Session Training Data'!AF31,'Participants'!$D$5:$D$204,"yes")=0,1,0))</x:f>
        <x:v>0</x:v>
      </x:c>
      <x:c r="P35" s="112" t="n">
        <x:f>IF('Session Training Data'!AF31="",0,IF(COUNTIF('Session Training Data'!$AF$5:AF31,'Session Training Data'!AF31)=1,1,0))</x:f>
        <x:v>0</x:v>
      </x:c>
      <x:c r="Q35" s="112" t="n">
        <x:f>IF('Participants'!A31="",0,IF(COUNTIF('Participants'!$A$5:$A$204,'Participants'!A31)&gt;1,1,0))</x:f>
        <x:v>0</x:v>
      </x:c>
      <x:c r="R35" s="112" t="n">
        <x:f>IF('Sessions'!A31="",0,IF(COUNTIF('Sessions'!$A$5:$A$204,'Sessions'!A31)&gt;1,1,0))</x:f>
        <x:v>0</x:v>
      </x:c>
      <x:c r="S35" s="112" t="n">
        <x:f>IF('Attempts'!A31="",0,IF(COUNTIF('Attempts'!$A$5:$A$204,'Attempts'!A31)&gt;1,1,0))</x:f>
        <x:v>0</x:v>
      </x:c>
      <x:c r="T35" s="112" t="n">
        <x:f>IF('Session Training Data'!A31="",0,IF(COUNTIF('Session Training Data'!$A$5:$A$204,'Session Training Data'!A31)&gt;1,1,0))</x:f>
        <x:v>0</x:v>
      </x:c>
    </x:row>
    <x:row r="36" ht="25" customHeight="1">
      <x:c r="A36" s="111" t="str">
        <x:v>Dummy safety</x:v>
      </x:c>
      <x:c r="B36" s="107" t="str">
        <x:v>Dummy rows in real Attempts</x:v>
      </x:c>
      <x:c r="C36" s="111" t="n">
        <x:f>COUNTIF('Attempts'!$BD$5:$BD$204,1)</x:f>
        <x:v>0</x:v>
      </x:c>
      <x:c r="D36" s="111" t="str">
        <x:f>IF(C36=0,"PASS","ACTION")</x:f>
        <x:v>PASS</x:v>
      </x:c>
      <x:c r="E36" s="107" t="str">
        <x:v>Must be 0</x:v>
      </x:c>
      <x:c r="G36" s="112" t="n">
        <x:f>IF('Sessions'!B32="",0,IF(COUNTIF('Participants'!$A$5:$A$204,'Sessions'!B32)=0,1,0))</x:f>
        <x:v>0</x:v>
      </x:c>
      <x:c r="H36" s="112" t="n">
        <x:f>IF('Attempts'!B32="",0,IF(COUNTIF('Sessions'!$A$5:$A$204,'Attempts'!B32)=0,1,0))</x:f>
        <x:v>0</x:v>
      </x:c>
      <x:c r="I36" s="112" t="n">
        <x:f>IF('Sessions'!A32="",0,IF(COUNTIF('Expert Labels'!$B$5:$B$204,'Sessions'!A32)=0,1,0))</x:f>
        <x:v>0</x:v>
      </x:c>
      <x:c r="J36" s="112" t="n">
        <x:f>IF('Expert Labels'!B32="",0,IF(COUNTIF('Expert Labels'!$B$5:$B$204,'Expert Labels'!B32)&gt;1,1,0))</x:f>
        <x:v>0</x:v>
      </x:c>
      <x:c r="K36" s="112" t="n">
        <x:f>IF('Expert Labels'!B32="",0,IF(COUNTIF('Sessions'!$A$5:$A$204,'Expert Labels'!B32)=0,1,0))</x:f>
        <x:v>0</x:v>
      </x:c>
      <x:c r="L36" s="112" t="n">
        <x:f>IF('Session Training Data'!A32="",0,IF(COUNTIF('Sessions'!$A$5:$A$204,'Session Training Data'!A32)=0,1,0))</x:f>
        <x:v>0</x:v>
      </x:c>
      <x:c r="M36" s="112" t="n">
        <x:f>IF('Session Training Data'!AF32="",0,IF(COUNTIF('Participants'!$A$5:$A$204,'Session Training Data'!AF32)=0,1,0))</x:f>
        <x:v>0</x:v>
      </x:c>
      <x:c r="N36" s="112" t="n">
        <x:f>IF(OR('Session Training Data'!A32="",'Session Training Data'!AF32=""),0,IF(COUNTIFS('Sessions'!$A$5:$A$204,'Session Training Data'!A32,'Sessions'!$B$5:$B$204,'Session Training Data'!AF32)=0,1,0))</x:f>
        <x:v>0</x:v>
      </x:c>
      <x:c r="O36" s="112" t="n">
        <x:f>IF('Session Training Data'!AF32="",0,IF(COUNTIFS('Participants'!$A$5:$A$204,'Session Training Data'!AF32,'Participants'!$D$5:$D$204,"yes")=0,1,0))</x:f>
        <x:v>0</x:v>
      </x:c>
      <x:c r="P36" s="112" t="n">
        <x:f>IF('Session Training Data'!AF32="",0,IF(COUNTIF('Session Training Data'!$AF$5:AF32,'Session Training Data'!AF32)=1,1,0))</x:f>
        <x:v>0</x:v>
      </x:c>
      <x:c r="Q36" s="112" t="n">
        <x:f>IF('Participants'!A32="",0,IF(COUNTIF('Participants'!$A$5:$A$204,'Participants'!A32)&gt;1,1,0))</x:f>
        <x:v>0</x:v>
      </x:c>
      <x:c r="R36" s="112" t="n">
        <x:f>IF('Sessions'!A32="",0,IF(COUNTIF('Sessions'!$A$5:$A$204,'Sessions'!A32)&gt;1,1,0))</x:f>
        <x:v>0</x:v>
      </x:c>
      <x:c r="S36" s="112" t="n">
        <x:f>IF('Attempts'!A32="",0,IF(COUNTIF('Attempts'!$A$5:$A$204,'Attempts'!A32)&gt;1,1,0))</x:f>
        <x:v>0</x:v>
      </x:c>
      <x:c r="T36" s="112" t="n">
        <x:f>IF('Session Training Data'!A32="",0,IF(COUNTIF('Session Training Data'!$A$5:$A$204,'Session Training Data'!A32)&gt;1,1,0))</x:f>
        <x:v>0</x:v>
      </x:c>
    </x:row>
    <x:row r="37" ht="25" customHeight="1">
      <x:c r="A37" s="111" t="str">
        <x:v>Dummy safety</x:v>
      </x:c>
      <x:c r="B37" s="107" t="str">
        <x:v>Dummy rows in real training data</x:v>
      </x:c>
      <x:c r="C37" s="111" t="n">
        <x:f>COUNTIF('Session Training Data'!$AG$5:$AG$204,1)</x:f>
        <x:v>0</x:v>
      </x:c>
      <x:c r="D37" s="111" t="str">
        <x:f>IF(C37=0,"PASS","ACTION")</x:f>
        <x:v>PASS</x:v>
      </x:c>
      <x:c r="E37" s="107" t="str">
        <x:v>Must be 0</x:v>
      </x:c>
      <x:c r="G37" s="112" t="n">
        <x:f>IF('Sessions'!B33="",0,IF(COUNTIF('Participants'!$A$5:$A$204,'Sessions'!B33)=0,1,0))</x:f>
        <x:v>0</x:v>
      </x:c>
      <x:c r="H37" s="112" t="n">
        <x:f>IF('Attempts'!B33="",0,IF(COUNTIF('Sessions'!$A$5:$A$204,'Attempts'!B33)=0,1,0))</x:f>
        <x:v>0</x:v>
      </x:c>
      <x:c r="I37" s="112" t="n">
        <x:f>IF('Sessions'!A33="",0,IF(COUNTIF('Expert Labels'!$B$5:$B$204,'Sessions'!A33)=0,1,0))</x:f>
        <x:v>0</x:v>
      </x:c>
      <x:c r="J37" s="112" t="n">
        <x:f>IF('Expert Labels'!B33="",0,IF(COUNTIF('Expert Labels'!$B$5:$B$204,'Expert Labels'!B33)&gt;1,1,0))</x:f>
        <x:v>0</x:v>
      </x:c>
      <x:c r="K37" s="112" t="n">
        <x:f>IF('Expert Labels'!B33="",0,IF(COUNTIF('Sessions'!$A$5:$A$204,'Expert Labels'!B33)=0,1,0))</x:f>
        <x:v>0</x:v>
      </x:c>
      <x:c r="L37" s="112" t="n">
        <x:f>IF('Session Training Data'!A33="",0,IF(COUNTIF('Sessions'!$A$5:$A$204,'Session Training Data'!A33)=0,1,0))</x:f>
        <x:v>0</x:v>
      </x:c>
      <x:c r="M37" s="112" t="n">
        <x:f>IF('Session Training Data'!AF33="",0,IF(COUNTIF('Participants'!$A$5:$A$204,'Session Training Data'!AF33)=0,1,0))</x:f>
        <x:v>0</x:v>
      </x:c>
      <x:c r="N37" s="112" t="n">
        <x:f>IF(OR('Session Training Data'!A33="",'Session Training Data'!AF33=""),0,IF(COUNTIFS('Sessions'!$A$5:$A$204,'Session Training Data'!A33,'Sessions'!$B$5:$B$204,'Session Training Data'!AF33)=0,1,0))</x:f>
        <x:v>0</x:v>
      </x:c>
      <x:c r="O37" s="112" t="n">
        <x:f>IF('Session Training Data'!AF33="",0,IF(COUNTIFS('Participants'!$A$5:$A$204,'Session Training Data'!AF33,'Participants'!$D$5:$D$204,"yes")=0,1,0))</x:f>
        <x:v>0</x:v>
      </x:c>
      <x:c r="P37" s="112" t="n">
        <x:f>IF('Session Training Data'!AF33="",0,IF(COUNTIF('Session Training Data'!$AF$5:AF33,'Session Training Data'!AF33)=1,1,0))</x:f>
        <x:v>0</x:v>
      </x:c>
      <x:c r="Q37" s="112" t="n">
        <x:f>IF('Participants'!A33="",0,IF(COUNTIF('Participants'!$A$5:$A$204,'Participants'!A33)&gt;1,1,0))</x:f>
        <x:v>0</x:v>
      </x:c>
      <x:c r="R37" s="112" t="n">
        <x:f>IF('Sessions'!A33="",0,IF(COUNTIF('Sessions'!$A$5:$A$204,'Sessions'!A33)&gt;1,1,0))</x:f>
        <x:v>0</x:v>
      </x:c>
      <x:c r="S37" s="112" t="n">
        <x:f>IF('Attempts'!A33="",0,IF(COUNTIF('Attempts'!$A$5:$A$204,'Attempts'!A33)&gt;1,1,0))</x:f>
        <x:v>0</x:v>
      </x:c>
      <x:c r="T37" s="112" t="n">
        <x:f>IF('Session Training Data'!A33="",0,IF(COUNTIF('Session Training Data'!$A$5:$A$204,'Session Training Data'!A33)&gt;1,1,0))</x:f>
        <x:v>0</x:v>
      </x:c>
    </x:row>
    <x:row r="38" ht="25" customHeight="1">
      <x:c r="A38" s="111" t="str">
        <x:v>Dummy safety</x:v>
      </x:c>
      <x:c r="B38" s="107" t="str">
        <x:v>Dummy attempt example rows</x:v>
      </x:c>
      <x:c r="C38" s="111" t="n">
        <x:f>COUNTA('Dummy Attempts'!$A$5:$A$28)</x:f>
        <x:v>24</x:v>
      </x:c>
      <x:c r="D38" s="111" t="str">
        <x:f>IF(C38=24,"PASS","CHECK")</x:f>
        <x:v>PASS</x:v>
      </x:c>
      <x:c r="E38" s="107" t="str">
        <x:v>Expected 24</x:v>
      </x:c>
      <x:c r="G38" s="112" t="n">
        <x:f>IF('Sessions'!B34="",0,IF(COUNTIF('Participants'!$A$5:$A$204,'Sessions'!B34)=0,1,0))</x:f>
        <x:v>0</x:v>
      </x:c>
      <x:c r="H38" s="112" t="n">
        <x:f>IF('Attempts'!B34="",0,IF(COUNTIF('Sessions'!$A$5:$A$204,'Attempts'!B34)=0,1,0))</x:f>
        <x:v>0</x:v>
      </x:c>
      <x:c r="I38" s="112" t="n">
        <x:f>IF('Sessions'!A34="",0,IF(COUNTIF('Expert Labels'!$B$5:$B$204,'Sessions'!A34)=0,1,0))</x:f>
        <x:v>0</x:v>
      </x:c>
      <x:c r="J38" s="112" t="n">
        <x:f>IF('Expert Labels'!B34="",0,IF(COUNTIF('Expert Labels'!$B$5:$B$204,'Expert Labels'!B34)&gt;1,1,0))</x:f>
        <x:v>0</x:v>
      </x:c>
      <x:c r="K38" s="112" t="n">
        <x:f>IF('Expert Labels'!B34="",0,IF(COUNTIF('Sessions'!$A$5:$A$204,'Expert Labels'!B34)=0,1,0))</x:f>
        <x:v>0</x:v>
      </x:c>
      <x:c r="L38" s="112" t="n">
        <x:f>IF('Session Training Data'!A34="",0,IF(COUNTIF('Sessions'!$A$5:$A$204,'Session Training Data'!A34)=0,1,0))</x:f>
        <x:v>0</x:v>
      </x:c>
      <x:c r="M38" s="112" t="n">
        <x:f>IF('Session Training Data'!AF34="",0,IF(COUNTIF('Participants'!$A$5:$A$204,'Session Training Data'!AF34)=0,1,0))</x:f>
        <x:v>0</x:v>
      </x:c>
      <x:c r="N38" s="112" t="n">
        <x:f>IF(OR('Session Training Data'!A34="",'Session Training Data'!AF34=""),0,IF(COUNTIFS('Sessions'!$A$5:$A$204,'Session Training Data'!A34,'Sessions'!$B$5:$B$204,'Session Training Data'!AF34)=0,1,0))</x:f>
        <x:v>0</x:v>
      </x:c>
      <x:c r="O38" s="112" t="n">
        <x:f>IF('Session Training Data'!AF34="",0,IF(COUNTIFS('Participants'!$A$5:$A$204,'Session Training Data'!AF34,'Participants'!$D$5:$D$204,"yes")=0,1,0))</x:f>
        <x:v>0</x:v>
      </x:c>
      <x:c r="P38" s="112" t="n">
        <x:f>IF('Session Training Data'!AF34="",0,IF(COUNTIF('Session Training Data'!$AF$5:AF34,'Session Training Data'!AF34)=1,1,0))</x:f>
        <x:v>0</x:v>
      </x:c>
      <x:c r="Q38" s="112" t="n">
        <x:f>IF('Participants'!A34="",0,IF(COUNTIF('Participants'!$A$5:$A$204,'Participants'!A34)&gt;1,1,0))</x:f>
        <x:v>0</x:v>
      </x:c>
      <x:c r="R38" s="112" t="n">
        <x:f>IF('Sessions'!A34="",0,IF(COUNTIF('Sessions'!$A$5:$A$204,'Sessions'!A34)&gt;1,1,0))</x:f>
        <x:v>0</x:v>
      </x:c>
      <x:c r="S38" s="112" t="n">
        <x:f>IF('Attempts'!A34="",0,IF(COUNTIF('Attempts'!$A$5:$A$204,'Attempts'!A34)&gt;1,1,0))</x:f>
        <x:v>0</x:v>
      </x:c>
      <x:c r="T38" s="112" t="n">
        <x:f>IF('Session Training Data'!A34="",0,IF(COUNTIF('Session Training Data'!$A$5:$A$204,'Session Training Data'!A34)&gt;1,1,0))</x:f>
        <x:v>0</x:v>
      </x:c>
    </x:row>
    <x:row r="39" ht="25" customHeight="1">
      <x:c r="A39" s="111" t="str">
        <x:v>Dummy safety</x:v>
      </x:c>
      <x:c r="B39" s="107" t="str">
        <x:v>Dummy session example rows</x:v>
      </x:c>
      <x:c r="C39" s="111" t="n">
        <x:f>COUNTA('Dummy Sessions'!$A$5:$A$16)</x:f>
        <x:v>12</x:v>
      </x:c>
      <x:c r="D39" s="111" t="str">
        <x:f>IF(C39=12,"PASS","CHECK")</x:f>
        <x:v>PASS</x:v>
      </x:c>
      <x:c r="E39" s="107" t="str">
        <x:v>Expected 12</x:v>
      </x:c>
      <x:c r="G39" s="112" t="n">
        <x:f>IF('Sessions'!B35="",0,IF(COUNTIF('Participants'!$A$5:$A$204,'Sessions'!B35)=0,1,0))</x:f>
        <x:v>0</x:v>
      </x:c>
      <x:c r="H39" s="112" t="n">
        <x:f>IF('Attempts'!B35="",0,IF(COUNTIF('Sessions'!$A$5:$A$204,'Attempts'!B35)=0,1,0))</x:f>
        <x:v>0</x:v>
      </x:c>
      <x:c r="I39" s="112" t="n">
        <x:f>IF('Sessions'!A35="",0,IF(COUNTIF('Expert Labels'!$B$5:$B$204,'Sessions'!A35)=0,1,0))</x:f>
        <x:v>0</x:v>
      </x:c>
      <x:c r="J39" s="112" t="n">
        <x:f>IF('Expert Labels'!B35="",0,IF(COUNTIF('Expert Labels'!$B$5:$B$204,'Expert Labels'!B35)&gt;1,1,0))</x:f>
        <x:v>0</x:v>
      </x:c>
      <x:c r="K39" s="112" t="n">
        <x:f>IF('Expert Labels'!B35="",0,IF(COUNTIF('Sessions'!$A$5:$A$204,'Expert Labels'!B35)=0,1,0))</x:f>
        <x:v>0</x:v>
      </x:c>
      <x:c r="L39" s="112" t="n">
        <x:f>IF('Session Training Data'!A35="",0,IF(COUNTIF('Sessions'!$A$5:$A$204,'Session Training Data'!A35)=0,1,0))</x:f>
        <x:v>0</x:v>
      </x:c>
      <x:c r="M39" s="112" t="n">
        <x:f>IF('Session Training Data'!AF35="",0,IF(COUNTIF('Participants'!$A$5:$A$204,'Session Training Data'!AF35)=0,1,0))</x:f>
        <x:v>0</x:v>
      </x:c>
      <x:c r="N39" s="112" t="n">
        <x:f>IF(OR('Session Training Data'!A35="",'Session Training Data'!AF35=""),0,IF(COUNTIFS('Sessions'!$A$5:$A$204,'Session Training Data'!A35,'Sessions'!$B$5:$B$204,'Session Training Data'!AF35)=0,1,0))</x:f>
        <x:v>0</x:v>
      </x:c>
      <x:c r="O39" s="112" t="n">
        <x:f>IF('Session Training Data'!AF35="",0,IF(COUNTIFS('Participants'!$A$5:$A$204,'Session Training Data'!AF35,'Participants'!$D$5:$D$204,"yes")=0,1,0))</x:f>
        <x:v>0</x:v>
      </x:c>
      <x:c r="P39" s="112" t="n">
        <x:f>IF('Session Training Data'!AF35="",0,IF(COUNTIF('Session Training Data'!$AF$5:AF35,'Session Training Data'!AF35)=1,1,0))</x:f>
        <x:v>0</x:v>
      </x:c>
      <x:c r="Q39" s="112" t="n">
        <x:f>IF('Participants'!A35="",0,IF(COUNTIF('Participants'!$A$5:$A$204,'Participants'!A35)&gt;1,1,0))</x:f>
        <x:v>0</x:v>
      </x:c>
      <x:c r="R39" s="112" t="n">
        <x:f>IF('Sessions'!A35="",0,IF(COUNTIF('Sessions'!$A$5:$A$204,'Sessions'!A35)&gt;1,1,0))</x:f>
        <x:v>0</x:v>
      </x:c>
      <x:c r="S39" s="112" t="n">
        <x:f>IF('Attempts'!A35="",0,IF(COUNTIF('Attempts'!$A$5:$A$204,'Attempts'!A35)&gt;1,1,0))</x:f>
        <x:v>0</x:v>
      </x:c>
      <x:c r="T39" s="112" t="n">
        <x:f>IF('Session Training Data'!A35="",0,IF(COUNTIF('Session Training Data'!$A$5:$A$204,'Session Training Data'!A35)&gt;1,1,0))</x:f>
        <x:v>0</x:v>
      </x:c>
    </x:row>
    <x:row r="40" ht="25" customHeight="1">
      <x:c r="A40" s="111" t="str">
        <x:v>Grade distribution</x:v>
      </x:c>
      <x:c r="B40" s="107" t="str">
        <x:v>Grade 2 participants</x:v>
      </x:c>
      <x:c r="C40" s="111" t="n">
        <x:f>COUNTIF('Participants'!$B$5:$B$204,2)</x:f>
        <x:v>0</x:v>
      </x:c>
      <x:c r="D40" s="111" t="str">
        <x:f>"INFO"</x:f>
        <x:v>INFO</x:v>
      </x:c>
      <x:c r="E40" s="107" t="str">
        <x:v>Informational</x:v>
      </x:c>
      <x:c r="G40" s="112" t="n">
        <x:f>IF('Sessions'!B36="",0,IF(COUNTIF('Participants'!$A$5:$A$204,'Sessions'!B36)=0,1,0))</x:f>
        <x:v>0</x:v>
      </x:c>
      <x:c r="H40" s="112" t="n">
        <x:f>IF('Attempts'!B36="",0,IF(COUNTIF('Sessions'!$A$5:$A$204,'Attempts'!B36)=0,1,0))</x:f>
        <x:v>0</x:v>
      </x:c>
      <x:c r="I40" s="112" t="n">
        <x:f>IF('Sessions'!A36="",0,IF(COUNTIF('Expert Labels'!$B$5:$B$204,'Sessions'!A36)=0,1,0))</x:f>
        <x:v>0</x:v>
      </x:c>
      <x:c r="J40" s="112" t="n">
        <x:f>IF('Expert Labels'!B36="",0,IF(COUNTIF('Expert Labels'!$B$5:$B$204,'Expert Labels'!B36)&gt;1,1,0))</x:f>
        <x:v>0</x:v>
      </x:c>
      <x:c r="K40" s="112" t="n">
        <x:f>IF('Expert Labels'!B36="",0,IF(COUNTIF('Sessions'!$A$5:$A$204,'Expert Labels'!B36)=0,1,0))</x:f>
        <x:v>0</x:v>
      </x:c>
      <x:c r="L40" s="112" t="n">
        <x:f>IF('Session Training Data'!A36="",0,IF(COUNTIF('Sessions'!$A$5:$A$204,'Session Training Data'!A36)=0,1,0))</x:f>
        <x:v>0</x:v>
      </x:c>
      <x:c r="M40" s="112" t="n">
        <x:f>IF('Session Training Data'!AF36="",0,IF(COUNTIF('Participants'!$A$5:$A$204,'Session Training Data'!AF36)=0,1,0))</x:f>
        <x:v>0</x:v>
      </x:c>
      <x:c r="N40" s="112" t="n">
        <x:f>IF(OR('Session Training Data'!A36="",'Session Training Data'!AF36=""),0,IF(COUNTIFS('Sessions'!$A$5:$A$204,'Session Training Data'!A36,'Sessions'!$B$5:$B$204,'Session Training Data'!AF36)=0,1,0))</x:f>
        <x:v>0</x:v>
      </x:c>
      <x:c r="O40" s="112" t="n">
        <x:f>IF('Session Training Data'!AF36="",0,IF(COUNTIFS('Participants'!$A$5:$A$204,'Session Training Data'!AF36,'Participants'!$D$5:$D$204,"yes")=0,1,0))</x:f>
        <x:v>0</x:v>
      </x:c>
      <x:c r="P40" s="112" t="n">
        <x:f>IF('Session Training Data'!AF36="",0,IF(COUNTIF('Session Training Data'!$AF$5:AF36,'Session Training Data'!AF36)=1,1,0))</x:f>
        <x:v>0</x:v>
      </x:c>
      <x:c r="Q40" s="112" t="n">
        <x:f>IF('Participants'!A36="",0,IF(COUNTIF('Participants'!$A$5:$A$204,'Participants'!A36)&gt;1,1,0))</x:f>
        <x:v>0</x:v>
      </x:c>
      <x:c r="R40" s="112" t="n">
        <x:f>IF('Sessions'!A36="",0,IF(COUNTIF('Sessions'!$A$5:$A$204,'Sessions'!A36)&gt;1,1,0))</x:f>
        <x:v>0</x:v>
      </x:c>
      <x:c r="S40" s="112" t="n">
        <x:f>IF('Attempts'!A36="",0,IF(COUNTIF('Attempts'!$A$5:$A$204,'Attempts'!A36)&gt;1,1,0))</x:f>
        <x:v>0</x:v>
      </x:c>
      <x:c r="T40" s="112" t="n">
        <x:f>IF('Session Training Data'!A36="",0,IF(COUNTIF('Session Training Data'!$A$5:$A$204,'Session Training Data'!A36)&gt;1,1,0))</x:f>
        <x:v>0</x:v>
      </x:c>
    </x:row>
    <x:row r="41" ht="25" customHeight="1">
      <x:c r="A41" s="111" t="str">
        <x:v>Grade distribution</x:v>
      </x:c>
      <x:c r="B41" s="107" t="str">
        <x:v>Grade 3 participants</x:v>
      </x:c>
      <x:c r="C41" s="111" t="n">
        <x:f>COUNTIF('Participants'!$B$5:$B$204,3)</x:f>
        <x:v>0</x:v>
      </x:c>
      <x:c r="D41" s="111" t="str">
        <x:f>"INFO"</x:f>
        <x:v>INFO</x:v>
      </x:c>
      <x:c r="E41" s="107" t="str">
        <x:v>Informational</x:v>
      </x:c>
      <x:c r="G41" s="112" t="n">
        <x:f>IF('Sessions'!B37="",0,IF(COUNTIF('Participants'!$A$5:$A$204,'Sessions'!B37)=0,1,0))</x:f>
        <x:v>0</x:v>
      </x:c>
      <x:c r="H41" s="112" t="n">
        <x:f>IF('Attempts'!B37="",0,IF(COUNTIF('Sessions'!$A$5:$A$204,'Attempts'!B37)=0,1,0))</x:f>
        <x:v>0</x:v>
      </x:c>
      <x:c r="I41" s="112" t="n">
        <x:f>IF('Sessions'!A37="",0,IF(COUNTIF('Expert Labels'!$B$5:$B$204,'Sessions'!A37)=0,1,0))</x:f>
        <x:v>0</x:v>
      </x:c>
      <x:c r="J41" s="112" t="n">
        <x:f>IF('Expert Labels'!B37="",0,IF(COUNTIF('Expert Labels'!$B$5:$B$204,'Expert Labels'!B37)&gt;1,1,0))</x:f>
        <x:v>0</x:v>
      </x:c>
      <x:c r="K41" s="112" t="n">
        <x:f>IF('Expert Labels'!B37="",0,IF(COUNTIF('Sessions'!$A$5:$A$204,'Expert Labels'!B37)=0,1,0))</x:f>
        <x:v>0</x:v>
      </x:c>
      <x:c r="L41" s="112" t="n">
        <x:f>IF('Session Training Data'!A37="",0,IF(COUNTIF('Sessions'!$A$5:$A$204,'Session Training Data'!A37)=0,1,0))</x:f>
        <x:v>0</x:v>
      </x:c>
      <x:c r="M41" s="112" t="n">
        <x:f>IF('Session Training Data'!AF37="",0,IF(COUNTIF('Participants'!$A$5:$A$204,'Session Training Data'!AF37)=0,1,0))</x:f>
        <x:v>0</x:v>
      </x:c>
      <x:c r="N41" s="112" t="n">
        <x:f>IF(OR('Session Training Data'!A37="",'Session Training Data'!AF37=""),0,IF(COUNTIFS('Sessions'!$A$5:$A$204,'Session Training Data'!A37,'Sessions'!$B$5:$B$204,'Session Training Data'!AF37)=0,1,0))</x:f>
        <x:v>0</x:v>
      </x:c>
      <x:c r="O41" s="112" t="n">
        <x:f>IF('Session Training Data'!AF37="",0,IF(COUNTIFS('Participants'!$A$5:$A$204,'Session Training Data'!AF37,'Participants'!$D$5:$D$204,"yes")=0,1,0))</x:f>
        <x:v>0</x:v>
      </x:c>
      <x:c r="P41" s="112" t="n">
        <x:f>IF('Session Training Data'!AF37="",0,IF(COUNTIF('Session Training Data'!$AF$5:AF37,'Session Training Data'!AF37)=1,1,0))</x:f>
        <x:v>0</x:v>
      </x:c>
      <x:c r="Q41" s="112" t="n">
        <x:f>IF('Participants'!A37="",0,IF(COUNTIF('Participants'!$A$5:$A$204,'Participants'!A37)&gt;1,1,0))</x:f>
        <x:v>0</x:v>
      </x:c>
      <x:c r="R41" s="112" t="n">
        <x:f>IF('Sessions'!A37="",0,IF(COUNTIF('Sessions'!$A$5:$A$204,'Sessions'!A37)&gt;1,1,0))</x:f>
        <x:v>0</x:v>
      </x:c>
      <x:c r="S41" s="112" t="n">
        <x:f>IF('Attempts'!A37="",0,IF(COUNTIF('Attempts'!$A$5:$A$204,'Attempts'!A37)&gt;1,1,0))</x:f>
        <x:v>0</x:v>
      </x:c>
      <x:c r="T41" s="112" t="n">
        <x:f>IF('Session Training Data'!A37="",0,IF(COUNTIF('Session Training Data'!$A$5:$A$204,'Session Training Data'!A37)&gt;1,1,0))</x:f>
        <x:v>0</x:v>
      </x:c>
    </x:row>
    <x:row r="42" ht="25" customHeight="1">
      <x:c r="A42" s="111" t="str">
        <x:v>Grade distribution</x:v>
      </x:c>
      <x:c r="B42" s="107" t="str">
        <x:v>Grade 4 participants</x:v>
      </x:c>
      <x:c r="C42" s="111" t="n">
        <x:f>COUNTIF('Participants'!$B$5:$B$204,4)</x:f>
        <x:v>0</x:v>
      </x:c>
      <x:c r="D42" s="111" t="str">
        <x:f>"INFO"</x:f>
        <x:v>INFO</x:v>
      </x:c>
      <x:c r="E42" s="107" t="str">
        <x:v>Informational</x:v>
      </x:c>
      <x:c r="G42" s="112" t="n">
        <x:f>IF('Sessions'!B38="",0,IF(COUNTIF('Participants'!$A$5:$A$204,'Sessions'!B38)=0,1,0))</x:f>
        <x:v>0</x:v>
      </x:c>
      <x:c r="H42" s="112" t="n">
        <x:f>IF('Attempts'!B38="",0,IF(COUNTIF('Sessions'!$A$5:$A$204,'Attempts'!B38)=0,1,0))</x:f>
        <x:v>0</x:v>
      </x:c>
      <x:c r="I42" s="112" t="n">
        <x:f>IF('Sessions'!A38="",0,IF(COUNTIF('Expert Labels'!$B$5:$B$204,'Sessions'!A38)=0,1,0))</x:f>
        <x:v>0</x:v>
      </x:c>
      <x:c r="J42" s="112" t="n">
        <x:f>IF('Expert Labels'!B38="",0,IF(COUNTIF('Expert Labels'!$B$5:$B$204,'Expert Labels'!B38)&gt;1,1,0))</x:f>
        <x:v>0</x:v>
      </x:c>
      <x:c r="K42" s="112" t="n">
        <x:f>IF('Expert Labels'!B38="",0,IF(COUNTIF('Sessions'!$A$5:$A$204,'Expert Labels'!B38)=0,1,0))</x:f>
        <x:v>0</x:v>
      </x:c>
      <x:c r="L42" s="112" t="n">
        <x:f>IF('Session Training Data'!A38="",0,IF(COUNTIF('Sessions'!$A$5:$A$204,'Session Training Data'!A38)=0,1,0))</x:f>
        <x:v>0</x:v>
      </x:c>
      <x:c r="M42" s="112" t="n">
        <x:f>IF('Session Training Data'!AF38="",0,IF(COUNTIF('Participants'!$A$5:$A$204,'Session Training Data'!AF38)=0,1,0))</x:f>
        <x:v>0</x:v>
      </x:c>
      <x:c r="N42" s="112" t="n">
        <x:f>IF(OR('Session Training Data'!A38="",'Session Training Data'!AF38=""),0,IF(COUNTIFS('Sessions'!$A$5:$A$204,'Session Training Data'!A38,'Sessions'!$B$5:$B$204,'Session Training Data'!AF38)=0,1,0))</x:f>
        <x:v>0</x:v>
      </x:c>
      <x:c r="O42" s="112" t="n">
        <x:f>IF('Session Training Data'!AF38="",0,IF(COUNTIFS('Participants'!$A$5:$A$204,'Session Training Data'!AF38,'Participants'!$D$5:$D$204,"yes")=0,1,0))</x:f>
        <x:v>0</x:v>
      </x:c>
      <x:c r="P42" s="112" t="n">
        <x:f>IF('Session Training Data'!AF38="",0,IF(COUNTIF('Session Training Data'!$AF$5:AF38,'Session Training Data'!AF38)=1,1,0))</x:f>
        <x:v>0</x:v>
      </x:c>
      <x:c r="Q42" s="112" t="n">
        <x:f>IF('Participants'!A38="",0,IF(COUNTIF('Participants'!$A$5:$A$204,'Participants'!A38)&gt;1,1,0))</x:f>
        <x:v>0</x:v>
      </x:c>
      <x:c r="R42" s="112" t="n">
        <x:f>IF('Sessions'!A38="",0,IF(COUNTIF('Sessions'!$A$5:$A$204,'Sessions'!A38)&gt;1,1,0))</x:f>
        <x:v>0</x:v>
      </x:c>
      <x:c r="S42" s="112" t="n">
        <x:f>IF('Attempts'!A38="",0,IF(COUNTIF('Attempts'!$A$5:$A$204,'Attempts'!A38)&gt;1,1,0))</x:f>
        <x:v>0</x:v>
      </x:c>
      <x:c r="T42" s="112" t="n">
        <x:f>IF('Session Training Data'!A38="",0,IF(COUNTIF('Session Training Data'!$A$5:$A$204,'Session Training Data'!A38)&gt;1,1,0))</x:f>
        <x:v>0</x:v>
      </x:c>
    </x:row>
    <x:row r="43" ht="25" customHeight="1">
      <x:c r="A43" s="111" t="str">
        <x:v>Grade distribution</x:v>
      </x:c>
      <x:c r="B43" s="107" t="str">
        <x:v>Grade 5 participants</x:v>
      </x:c>
      <x:c r="C43" s="111" t="n">
        <x:f>COUNTIF('Participants'!$B$5:$B$204,5)</x:f>
        <x:v>0</x:v>
      </x:c>
      <x:c r="D43" s="111" t="str">
        <x:f>"INFO"</x:f>
        <x:v>INFO</x:v>
      </x:c>
      <x:c r="E43" s="107" t="str">
        <x:v>Informational</x:v>
      </x:c>
      <x:c r="G43" s="112" t="n">
        <x:f>IF('Sessions'!B39="",0,IF(COUNTIF('Participants'!$A$5:$A$204,'Sessions'!B39)=0,1,0))</x:f>
        <x:v>0</x:v>
      </x:c>
      <x:c r="H43" s="112" t="n">
        <x:f>IF('Attempts'!B39="",0,IF(COUNTIF('Sessions'!$A$5:$A$204,'Attempts'!B39)=0,1,0))</x:f>
        <x:v>0</x:v>
      </x:c>
      <x:c r="I43" s="112" t="n">
        <x:f>IF('Sessions'!A39="",0,IF(COUNTIF('Expert Labels'!$B$5:$B$204,'Sessions'!A39)=0,1,0))</x:f>
        <x:v>0</x:v>
      </x:c>
      <x:c r="J43" s="112" t="n">
        <x:f>IF('Expert Labels'!B39="",0,IF(COUNTIF('Expert Labels'!$B$5:$B$204,'Expert Labels'!B39)&gt;1,1,0))</x:f>
        <x:v>0</x:v>
      </x:c>
      <x:c r="K43" s="112" t="n">
        <x:f>IF('Expert Labels'!B39="",0,IF(COUNTIF('Sessions'!$A$5:$A$204,'Expert Labels'!B39)=0,1,0))</x:f>
        <x:v>0</x:v>
      </x:c>
      <x:c r="L43" s="112" t="n">
        <x:f>IF('Session Training Data'!A39="",0,IF(COUNTIF('Sessions'!$A$5:$A$204,'Session Training Data'!A39)=0,1,0))</x:f>
        <x:v>0</x:v>
      </x:c>
      <x:c r="M43" s="112" t="n">
        <x:f>IF('Session Training Data'!AF39="",0,IF(COUNTIF('Participants'!$A$5:$A$204,'Session Training Data'!AF39)=0,1,0))</x:f>
        <x:v>0</x:v>
      </x:c>
      <x:c r="N43" s="112" t="n">
        <x:f>IF(OR('Session Training Data'!A39="",'Session Training Data'!AF39=""),0,IF(COUNTIFS('Sessions'!$A$5:$A$204,'Session Training Data'!A39,'Sessions'!$B$5:$B$204,'Session Training Data'!AF39)=0,1,0))</x:f>
        <x:v>0</x:v>
      </x:c>
      <x:c r="O43" s="112" t="n">
        <x:f>IF('Session Training Data'!AF39="",0,IF(COUNTIFS('Participants'!$A$5:$A$204,'Session Training Data'!AF39,'Participants'!$D$5:$D$204,"yes")=0,1,0))</x:f>
        <x:v>0</x:v>
      </x:c>
      <x:c r="P43" s="112" t="n">
        <x:f>IF('Session Training Data'!AF39="",0,IF(COUNTIF('Session Training Data'!$AF$5:AF39,'Session Training Data'!AF39)=1,1,0))</x:f>
        <x:v>0</x:v>
      </x:c>
      <x:c r="Q43" s="112" t="n">
        <x:f>IF('Participants'!A39="",0,IF(COUNTIF('Participants'!$A$5:$A$204,'Participants'!A39)&gt;1,1,0))</x:f>
        <x:v>0</x:v>
      </x:c>
      <x:c r="R43" s="112" t="n">
        <x:f>IF('Sessions'!A39="",0,IF(COUNTIF('Sessions'!$A$5:$A$204,'Sessions'!A39)&gt;1,1,0))</x:f>
        <x:v>0</x:v>
      </x:c>
      <x:c r="S43" s="112" t="n">
        <x:f>IF('Attempts'!A39="",0,IF(COUNTIF('Attempts'!$A$5:$A$204,'Attempts'!A39)&gt;1,1,0))</x:f>
        <x:v>0</x:v>
      </x:c>
      <x:c r="T43" s="112" t="n">
        <x:f>IF('Session Training Data'!A39="",0,IF(COUNTIF('Session Training Data'!$A$5:$A$204,'Session Training Data'!A39)&gt;1,1,0))</x:f>
        <x:v>0</x:v>
      </x:c>
    </x:row>
    <x:row r="44" ht="25" customHeight="1">
      <x:c r="A44" s="111" t="str">
        <x:v>Class distribution</x:v>
      </x:c>
      <x:c r="B44" s="107" t="str">
        <x:v>low_support training rows</x:v>
      </x:c>
      <x:c r="C44" s="111" t="n">
        <x:f>COUNTIF('Session Training Data'!$AA$5:$AA$204,"low_support")</x:f>
        <x:v>0</x:v>
      </x:c>
      <x:c r="D44" s="111" t="str">
        <x:f>IF(C44&gt;=1,"PASS","ACTION")</x:f>
        <x:v>ACTION</x:v>
      </x:c>
      <x:c r="E44" s="107" t="str">
        <x:v>At least 1 before training</x:v>
      </x:c>
      <x:c r="G44" s="112" t="n">
        <x:f>IF('Sessions'!B40="",0,IF(COUNTIF('Participants'!$A$5:$A$204,'Sessions'!B40)=0,1,0))</x:f>
        <x:v>0</x:v>
      </x:c>
      <x:c r="H44" s="112" t="n">
        <x:f>IF('Attempts'!B40="",0,IF(COUNTIF('Sessions'!$A$5:$A$204,'Attempts'!B40)=0,1,0))</x:f>
        <x:v>0</x:v>
      </x:c>
      <x:c r="I44" s="112" t="n">
        <x:f>IF('Sessions'!A40="",0,IF(COUNTIF('Expert Labels'!$B$5:$B$204,'Sessions'!A40)=0,1,0))</x:f>
        <x:v>0</x:v>
      </x:c>
      <x:c r="J44" s="112" t="n">
        <x:f>IF('Expert Labels'!B40="",0,IF(COUNTIF('Expert Labels'!$B$5:$B$204,'Expert Labels'!B40)&gt;1,1,0))</x:f>
        <x:v>0</x:v>
      </x:c>
      <x:c r="K44" s="112" t="n">
        <x:f>IF('Expert Labels'!B40="",0,IF(COUNTIF('Sessions'!$A$5:$A$204,'Expert Labels'!B40)=0,1,0))</x:f>
        <x:v>0</x:v>
      </x:c>
      <x:c r="L44" s="112" t="n">
        <x:f>IF('Session Training Data'!A40="",0,IF(COUNTIF('Sessions'!$A$5:$A$204,'Session Training Data'!A40)=0,1,0))</x:f>
        <x:v>0</x:v>
      </x:c>
      <x:c r="M44" s="112" t="n">
        <x:f>IF('Session Training Data'!AF40="",0,IF(COUNTIF('Participants'!$A$5:$A$204,'Session Training Data'!AF40)=0,1,0))</x:f>
        <x:v>0</x:v>
      </x:c>
      <x:c r="N44" s="112" t="n">
        <x:f>IF(OR('Session Training Data'!A40="",'Session Training Data'!AF40=""),0,IF(COUNTIFS('Sessions'!$A$5:$A$204,'Session Training Data'!A40,'Sessions'!$B$5:$B$204,'Session Training Data'!AF40)=0,1,0))</x:f>
        <x:v>0</x:v>
      </x:c>
      <x:c r="O44" s="112" t="n">
        <x:f>IF('Session Training Data'!AF40="",0,IF(COUNTIFS('Participants'!$A$5:$A$204,'Session Training Data'!AF40,'Participants'!$D$5:$D$204,"yes")=0,1,0))</x:f>
        <x:v>0</x:v>
      </x:c>
      <x:c r="P44" s="112" t="n">
        <x:f>IF('Session Training Data'!AF40="",0,IF(COUNTIF('Session Training Data'!$AF$5:AF40,'Session Training Data'!AF40)=1,1,0))</x:f>
        <x:v>0</x:v>
      </x:c>
      <x:c r="Q44" s="112" t="n">
        <x:f>IF('Participants'!A40="",0,IF(COUNTIF('Participants'!$A$5:$A$204,'Participants'!A40)&gt;1,1,0))</x:f>
        <x:v>0</x:v>
      </x:c>
      <x:c r="R44" s="112" t="n">
        <x:f>IF('Sessions'!A40="",0,IF(COUNTIF('Sessions'!$A$5:$A$204,'Sessions'!A40)&gt;1,1,0))</x:f>
        <x:v>0</x:v>
      </x:c>
      <x:c r="S44" s="112" t="n">
        <x:f>IF('Attempts'!A40="",0,IF(COUNTIF('Attempts'!$A$5:$A$204,'Attempts'!A40)&gt;1,1,0))</x:f>
        <x:v>0</x:v>
      </x:c>
      <x:c r="T44" s="112" t="n">
        <x:f>IF('Session Training Data'!A40="",0,IF(COUNTIF('Session Training Data'!$A$5:$A$204,'Session Training Data'!A40)&gt;1,1,0))</x:f>
        <x:v>0</x:v>
      </x:c>
    </x:row>
    <x:row r="45" ht="25" customHeight="1">
      <x:c r="A45" s="111" t="str">
        <x:v>Class distribution</x:v>
      </x:c>
      <x:c r="B45" s="107" t="str">
        <x:v>medium_support training rows</x:v>
      </x:c>
      <x:c r="C45" s="111" t="n">
        <x:f>COUNTIF('Session Training Data'!$AA$5:$AA$204,"medium_support")</x:f>
        <x:v>0</x:v>
      </x:c>
      <x:c r="D45" s="111" t="str">
        <x:f>IF(C45&gt;=1,"PASS","ACTION")</x:f>
        <x:v>ACTION</x:v>
      </x:c>
      <x:c r="E45" s="107" t="str">
        <x:v>At least 1 before training</x:v>
      </x:c>
      <x:c r="G45" s="112" t="n">
        <x:f>IF('Sessions'!B41="",0,IF(COUNTIF('Participants'!$A$5:$A$204,'Sessions'!B41)=0,1,0))</x:f>
        <x:v>0</x:v>
      </x:c>
      <x:c r="H45" s="112" t="n">
        <x:f>IF('Attempts'!B41="",0,IF(COUNTIF('Sessions'!$A$5:$A$204,'Attempts'!B41)=0,1,0))</x:f>
        <x:v>0</x:v>
      </x:c>
      <x:c r="I45" s="112" t="n">
        <x:f>IF('Sessions'!A41="",0,IF(COUNTIF('Expert Labels'!$B$5:$B$204,'Sessions'!A41)=0,1,0))</x:f>
        <x:v>0</x:v>
      </x:c>
      <x:c r="J45" s="112" t="n">
        <x:f>IF('Expert Labels'!B41="",0,IF(COUNTIF('Expert Labels'!$B$5:$B$204,'Expert Labels'!B41)&gt;1,1,0))</x:f>
        <x:v>0</x:v>
      </x:c>
      <x:c r="K45" s="112" t="n">
        <x:f>IF('Expert Labels'!B41="",0,IF(COUNTIF('Sessions'!$A$5:$A$204,'Expert Labels'!B41)=0,1,0))</x:f>
        <x:v>0</x:v>
      </x:c>
      <x:c r="L45" s="112" t="n">
        <x:f>IF('Session Training Data'!A41="",0,IF(COUNTIF('Sessions'!$A$5:$A$204,'Session Training Data'!A41)=0,1,0))</x:f>
        <x:v>0</x:v>
      </x:c>
      <x:c r="M45" s="112" t="n">
        <x:f>IF('Session Training Data'!AF41="",0,IF(COUNTIF('Participants'!$A$5:$A$204,'Session Training Data'!AF41)=0,1,0))</x:f>
        <x:v>0</x:v>
      </x:c>
      <x:c r="N45" s="112" t="n">
        <x:f>IF(OR('Session Training Data'!A41="",'Session Training Data'!AF41=""),0,IF(COUNTIFS('Sessions'!$A$5:$A$204,'Session Training Data'!A41,'Sessions'!$B$5:$B$204,'Session Training Data'!AF41)=0,1,0))</x:f>
        <x:v>0</x:v>
      </x:c>
      <x:c r="O45" s="112" t="n">
        <x:f>IF('Session Training Data'!AF41="",0,IF(COUNTIFS('Participants'!$A$5:$A$204,'Session Training Data'!AF41,'Participants'!$D$5:$D$204,"yes")=0,1,0))</x:f>
        <x:v>0</x:v>
      </x:c>
      <x:c r="P45" s="112" t="n">
        <x:f>IF('Session Training Data'!AF41="",0,IF(COUNTIF('Session Training Data'!$AF$5:AF41,'Session Training Data'!AF41)=1,1,0))</x:f>
        <x:v>0</x:v>
      </x:c>
      <x:c r="Q45" s="112" t="n">
        <x:f>IF('Participants'!A41="",0,IF(COUNTIF('Participants'!$A$5:$A$204,'Participants'!A41)&gt;1,1,0))</x:f>
        <x:v>0</x:v>
      </x:c>
      <x:c r="R45" s="112" t="n">
        <x:f>IF('Sessions'!A41="",0,IF(COUNTIF('Sessions'!$A$5:$A$204,'Sessions'!A41)&gt;1,1,0))</x:f>
        <x:v>0</x:v>
      </x:c>
      <x:c r="S45" s="112" t="n">
        <x:f>IF('Attempts'!A41="",0,IF(COUNTIF('Attempts'!$A$5:$A$204,'Attempts'!A41)&gt;1,1,0))</x:f>
        <x:v>0</x:v>
      </x:c>
      <x:c r="T45" s="112" t="n">
        <x:f>IF('Session Training Data'!A41="",0,IF(COUNTIF('Session Training Data'!$A$5:$A$204,'Session Training Data'!A41)&gt;1,1,0))</x:f>
        <x:v>0</x:v>
      </x:c>
    </x:row>
    <x:row r="46" ht="25" customHeight="1">
      <x:c r="A46" s="111" t="str">
        <x:v>Class distribution</x:v>
      </x:c>
      <x:c r="B46" s="107" t="str">
        <x:v>high_support training rows</x:v>
      </x:c>
      <x:c r="C46" s="111" t="n">
        <x:f>COUNTIF('Session Training Data'!$AA$5:$AA$204,"high_support")</x:f>
        <x:v>0</x:v>
      </x:c>
      <x:c r="D46" s="111" t="str">
        <x:f>IF(C46&gt;=1,"PASS","ACTION")</x:f>
        <x:v>ACTION</x:v>
      </x:c>
      <x:c r="E46" s="107" t="str">
        <x:v>At least 1 before training</x:v>
      </x:c>
      <x:c r="G46" s="112" t="n">
        <x:f>IF('Sessions'!B42="",0,IF(COUNTIF('Participants'!$A$5:$A$204,'Sessions'!B42)=0,1,0))</x:f>
        <x:v>0</x:v>
      </x:c>
      <x:c r="H46" s="112" t="n">
        <x:f>IF('Attempts'!B42="",0,IF(COUNTIF('Sessions'!$A$5:$A$204,'Attempts'!B42)=0,1,0))</x:f>
        <x:v>0</x:v>
      </x:c>
      <x:c r="I46" s="112" t="n">
        <x:f>IF('Sessions'!A42="",0,IF(COUNTIF('Expert Labels'!$B$5:$B$204,'Sessions'!A42)=0,1,0))</x:f>
        <x:v>0</x:v>
      </x:c>
      <x:c r="J46" s="112" t="n">
        <x:f>IF('Expert Labels'!B42="",0,IF(COUNTIF('Expert Labels'!$B$5:$B$204,'Expert Labels'!B42)&gt;1,1,0))</x:f>
        <x:v>0</x:v>
      </x:c>
      <x:c r="K46" s="112" t="n">
        <x:f>IF('Expert Labels'!B42="",0,IF(COUNTIF('Sessions'!$A$5:$A$204,'Expert Labels'!B42)=0,1,0))</x:f>
        <x:v>0</x:v>
      </x:c>
      <x:c r="L46" s="112" t="n">
        <x:f>IF('Session Training Data'!A42="",0,IF(COUNTIF('Sessions'!$A$5:$A$204,'Session Training Data'!A42)=0,1,0))</x:f>
        <x:v>0</x:v>
      </x:c>
      <x:c r="M46" s="112" t="n">
        <x:f>IF('Session Training Data'!AF42="",0,IF(COUNTIF('Participants'!$A$5:$A$204,'Session Training Data'!AF42)=0,1,0))</x:f>
        <x:v>0</x:v>
      </x:c>
      <x:c r="N46" s="112" t="n">
        <x:f>IF(OR('Session Training Data'!A42="",'Session Training Data'!AF42=""),0,IF(COUNTIFS('Sessions'!$A$5:$A$204,'Session Training Data'!A42,'Sessions'!$B$5:$B$204,'Session Training Data'!AF42)=0,1,0))</x:f>
        <x:v>0</x:v>
      </x:c>
      <x:c r="O46" s="112" t="n">
        <x:f>IF('Session Training Data'!AF42="",0,IF(COUNTIFS('Participants'!$A$5:$A$204,'Session Training Data'!AF42,'Participants'!$D$5:$D$204,"yes")=0,1,0))</x:f>
        <x:v>0</x:v>
      </x:c>
      <x:c r="P46" s="112" t="n">
        <x:f>IF('Session Training Data'!AF42="",0,IF(COUNTIF('Session Training Data'!$AF$5:AF42,'Session Training Data'!AF42)=1,1,0))</x:f>
        <x:v>0</x:v>
      </x:c>
      <x:c r="Q46" s="112" t="n">
        <x:f>IF('Participants'!A42="",0,IF(COUNTIF('Participants'!$A$5:$A$204,'Participants'!A42)&gt;1,1,0))</x:f>
        <x:v>0</x:v>
      </x:c>
      <x:c r="R46" s="112" t="n">
        <x:f>IF('Sessions'!A42="",0,IF(COUNTIF('Sessions'!$A$5:$A$204,'Sessions'!A42)&gt;1,1,0))</x:f>
        <x:v>0</x:v>
      </x:c>
      <x:c r="S46" s="112" t="n">
        <x:f>IF('Attempts'!A42="",0,IF(COUNTIF('Attempts'!$A$5:$A$204,'Attempts'!A42)&gt;1,1,0))</x:f>
        <x:v>0</x:v>
      </x:c>
      <x:c r="T46" s="112" t="n">
        <x:f>IF('Session Training Data'!A42="",0,IF(COUNTIF('Session Training Data'!$A$5:$A$204,'Session Training Data'!A42)&gt;1,1,0))</x:f>
        <x:v>0</x:v>
      </x:c>
    </x:row>
    <x:row r="47" ht="25" customHeight="1">
      <x:c r="A47" s="111" t="str">
        <x:v>Grouping</x:v>
      </x:c>
      <x:c r="B47" s="107" t="str">
        <x:v>Unique training participants</x:v>
      </x:c>
      <x:c r="C47" s="111" t="n">
        <x:f>SUM($P$9:$P$208)</x:f>
        <x:v>0</x:v>
      </x:c>
      <x:c r="D47" s="111" t="str">
        <x:f>IF(C47&gt;=2,"PASS","ACTION")</x:f>
        <x:v>ACTION</x:v>
      </x:c>
      <x:c r="E47" s="107" t="str">
        <x:v>At least 2; group split remains mandatory</x:v>
      </x:c>
      <x:c r="G47" s="112" t="n">
        <x:f>IF('Sessions'!B43="",0,IF(COUNTIF('Participants'!$A$5:$A$204,'Sessions'!B43)=0,1,0))</x:f>
        <x:v>0</x:v>
      </x:c>
      <x:c r="H47" s="112" t="n">
        <x:f>IF('Attempts'!B43="",0,IF(COUNTIF('Sessions'!$A$5:$A$204,'Attempts'!B43)=0,1,0))</x:f>
        <x:v>0</x:v>
      </x:c>
      <x:c r="I47" s="112" t="n">
        <x:f>IF('Sessions'!A43="",0,IF(COUNTIF('Expert Labels'!$B$5:$B$204,'Sessions'!A43)=0,1,0))</x:f>
        <x:v>0</x:v>
      </x:c>
      <x:c r="J47" s="112" t="n">
        <x:f>IF('Expert Labels'!B43="",0,IF(COUNTIF('Expert Labels'!$B$5:$B$204,'Expert Labels'!B43)&gt;1,1,0))</x:f>
        <x:v>0</x:v>
      </x:c>
      <x:c r="K47" s="112" t="n">
        <x:f>IF('Expert Labels'!B43="",0,IF(COUNTIF('Sessions'!$A$5:$A$204,'Expert Labels'!B43)=0,1,0))</x:f>
        <x:v>0</x:v>
      </x:c>
      <x:c r="L47" s="112" t="n">
        <x:f>IF('Session Training Data'!A43="",0,IF(COUNTIF('Sessions'!$A$5:$A$204,'Session Training Data'!A43)=0,1,0))</x:f>
        <x:v>0</x:v>
      </x:c>
      <x:c r="M47" s="112" t="n">
        <x:f>IF('Session Training Data'!AF43="",0,IF(COUNTIF('Participants'!$A$5:$A$204,'Session Training Data'!AF43)=0,1,0))</x:f>
        <x:v>0</x:v>
      </x:c>
      <x:c r="N47" s="112" t="n">
        <x:f>IF(OR('Session Training Data'!A43="",'Session Training Data'!AF43=""),0,IF(COUNTIFS('Sessions'!$A$5:$A$204,'Session Training Data'!A43,'Sessions'!$B$5:$B$204,'Session Training Data'!AF43)=0,1,0))</x:f>
        <x:v>0</x:v>
      </x:c>
      <x:c r="O47" s="112" t="n">
        <x:f>IF('Session Training Data'!AF43="",0,IF(COUNTIFS('Participants'!$A$5:$A$204,'Session Training Data'!AF43,'Participants'!$D$5:$D$204,"yes")=0,1,0))</x:f>
        <x:v>0</x:v>
      </x:c>
      <x:c r="P47" s="112" t="n">
        <x:f>IF('Session Training Data'!AF43="",0,IF(COUNTIF('Session Training Data'!$AF$5:AF43,'Session Training Data'!AF43)=1,1,0))</x:f>
        <x:v>0</x:v>
      </x:c>
      <x:c r="Q47" s="112" t="n">
        <x:f>IF('Participants'!A43="",0,IF(COUNTIF('Participants'!$A$5:$A$204,'Participants'!A43)&gt;1,1,0))</x:f>
        <x:v>0</x:v>
      </x:c>
      <x:c r="R47" s="112" t="n">
        <x:f>IF('Sessions'!A43="",0,IF(COUNTIF('Sessions'!$A$5:$A$204,'Sessions'!A43)&gt;1,1,0))</x:f>
        <x:v>0</x:v>
      </x:c>
      <x:c r="S47" s="112" t="n">
        <x:f>IF('Attempts'!A43="",0,IF(COUNTIF('Attempts'!$A$5:$A$204,'Attempts'!A43)&gt;1,1,0))</x:f>
        <x:v>0</x:v>
      </x:c>
      <x:c r="T47" s="112" t="n">
        <x:f>IF('Session Training Data'!A43="",0,IF(COUNTIF('Session Training Data'!$A$5:$A$204,'Session Training Data'!A43)&gt;1,1,0))</x:f>
        <x:v>0</x:v>
      </x:c>
    </x:row>
    <x:row r="48">
      <x:c r="G48" s="112" t="n">
        <x:f>IF('Sessions'!B44="",0,IF(COUNTIF('Participants'!$A$5:$A$204,'Sessions'!B44)=0,1,0))</x:f>
        <x:v>0</x:v>
      </x:c>
      <x:c r="H48" s="112" t="n">
        <x:f>IF('Attempts'!B44="",0,IF(COUNTIF('Sessions'!$A$5:$A$204,'Attempts'!B44)=0,1,0))</x:f>
        <x:v>0</x:v>
      </x:c>
      <x:c r="I48" s="112" t="n">
        <x:f>IF('Sessions'!A44="",0,IF(COUNTIF('Expert Labels'!$B$5:$B$204,'Sessions'!A44)=0,1,0))</x:f>
        <x:v>0</x:v>
      </x:c>
      <x:c r="J48" s="112" t="n">
        <x:f>IF('Expert Labels'!B44="",0,IF(COUNTIF('Expert Labels'!$B$5:$B$204,'Expert Labels'!B44)&gt;1,1,0))</x:f>
        <x:v>0</x:v>
      </x:c>
      <x:c r="K48" s="112" t="n">
        <x:f>IF('Expert Labels'!B44="",0,IF(COUNTIF('Sessions'!$A$5:$A$204,'Expert Labels'!B44)=0,1,0))</x:f>
        <x:v>0</x:v>
      </x:c>
      <x:c r="L48" s="112" t="n">
        <x:f>IF('Session Training Data'!A44="",0,IF(COUNTIF('Sessions'!$A$5:$A$204,'Session Training Data'!A44)=0,1,0))</x:f>
        <x:v>0</x:v>
      </x:c>
      <x:c r="M48" s="112" t="n">
        <x:f>IF('Session Training Data'!AF44="",0,IF(COUNTIF('Participants'!$A$5:$A$204,'Session Training Data'!AF44)=0,1,0))</x:f>
        <x:v>0</x:v>
      </x:c>
      <x:c r="N48" s="112" t="n">
        <x:f>IF(OR('Session Training Data'!A44="",'Session Training Data'!AF44=""),0,IF(COUNTIFS('Sessions'!$A$5:$A$204,'Session Training Data'!A44,'Sessions'!$B$5:$B$204,'Session Training Data'!AF44)=0,1,0))</x:f>
        <x:v>0</x:v>
      </x:c>
      <x:c r="O48" s="112" t="n">
        <x:f>IF('Session Training Data'!AF44="",0,IF(COUNTIFS('Participants'!$A$5:$A$204,'Session Training Data'!AF44,'Participants'!$D$5:$D$204,"yes")=0,1,0))</x:f>
        <x:v>0</x:v>
      </x:c>
      <x:c r="P48" s="112" t="n">
        <x:f>IF('Session Training Data'!AF44="",0,IF(COUNTIF('Session Training Data'!$AF$5:AF44,'Session Training Data'!AF44)=1,1,0))</x:f>
        <x:v>0</x:v>
      </x:c>
      <x:c r="Q48" s="112" t="n">
        <x:f>IF('Participants'!A44="",0,IF(COUNTIF('Participants'!$A$5:$A$204,'Participants'!A44)&gt;1,1,0))</x:f>
        <x:v>0</x:v>
      </x:c>
      <x:c r="R48" s="112" t="n">
        <x:f>IF('Sessions'!A44="",0,IF(COUNTIF('Sessions'!$A$5:$A$204,'Sessions'!A44)&gt;1,1,0))</x:f>
        <x:v>0</x:v>
      </x:c>
      <x:c r="S48" s="112" t="n">
        <x:f>IF('Attempts'!A44="",0,IF(COUNTIF('Attempts'!$A$5:$A$204,'Attempts'!A44)&gt;1,1,0))</x:f>
        <x:v>0</x:v>
      </x:c>
      <x:c r="T48" s="112" t="n">
        <x:f>IF('Session Training Data'!A44="",0,IF(COUNTIF('Session Training Data'!$A$5:$A$204,'Session Training Data'!A44)&gt;1,1,0))</x:f>
        <x:v>0</x:v>
      </x:c>
    </x:row>
    <x:row r="49">
      <x:c r="G49" s="112" t="n">
        <x:f>IF('Sessions'!B45="",0,IF(COUNTIF('Participants'!$A$5:$A$204,'Sessions'!B45)=0,1,0))</x:f>
        <x:v>0</x:v>
      </x:c>
      <x:c r="H49" s="112" t="n">
        <x:f>IF('Attempts'!B45="",0,IF(COUNTIF('Sessions'!$A$5:$A$204,'Attempts'!B45)=0,1,0))</x:f>
        <x:v>0</x:v>
      </x:c>
      <x:c r="I49" s="112" t="n">
        <x:f>IF('Sessions'!A45="",0,IF(COUNTIF('Expert Labels'!$B$5:$B$204,'Sessions'!A45)=0,1,0))</x:f>
        <x:v>0</x:v>
      </x:c>
      <x:c r="J49" s="112" t="n">
        <x:f>IF('Expert Labels'!B45="",0,IF(COUNTIF('Expert Labels'!$B$5:$B$204,'Expert Labels'!B45)&gt;1,1,0))</x:f>
        <x:v>0</x:v>
      </x:c>
      <x:c r="K49" s="112" t="n">
        <x:f>IF('Expert Labels'!B45="",0,IF(COUNTIF('Sessions'!$A$5:$A$204,'Expert Labels'!B45)=0,1,0))</x:f>
        <x:v>0</x:v>
      </x:c>
      <x:c r="L49" s="112" t="n">
        <x:f>IF('Session Training Data'!A45="",0,IF(COUNTIF('Sessions'!$A$5:$A$204,'Session Training Data'!A45)=0,1,0))</x:f>
        <x:v>0</x:v>
      </x:c>
      <x:c r="M49" s="112" t="n">
        <x:f>IF('Session Training Data'!AF45="",0,IF(COUNTIF('Participants'!$A$5:$A$204,'Session Training Data'!AF45)=0,1,0))</x:f>
        <x:v>0</x:v>
      </x:c>
      <x:c r="N49" s="112" t="n">
        <x:f>IF(OR('Session Training Data'!A45="",'Session Training Data'!AF45=""),0,IF(COUNTIFS('Sessions'!$A$5:$A$204,'Session Training Data'!A45,'Sessions'!$B$5:$B$204,'Session Training Data'!AF45)=0,1,0))</x:f>
        <x:v>0</x:v>
      </x:c>
      <x:c r="O49" s="112" t="n">
        <x:f>IF('Session Training Data'!AF45="",0,IF(COUNTIFS('Participants'!$A$5:$A$204,'Session Training Data'!AF45,'Participants'!$D$5:$D$204,"yes")=0,1,0))</x:f>
        <x:v>0</x:v>
      </x:c>
      <x:c r="P49" s="112" t="n">
        <x:f>IF('Session Training Data'!AF45="",0,IF(COUNTIF('Session Training Data'!$AF$5:AF45,'Session Training Data'!AF45)=1,1,0))</x:f>
        <x:v>0</x:v>
      </x:c>
      <x:c r="Q49" s="112" t="n">
        <x:f>IF('Participants'!A45="",0,IF(COUNTIF('Participants'!$A$5:$A$204,'Participants'!A45)&gt;1,1,0))</x:f>
        <x:v>0</x:v>
      </x:c>
      <x:c r="R49" s="112" t="n">
        <x:f>IF('Sessions'!A45="",0,IF(COUNTIF('Sessions'!$A$5:$A$204,'Sessions'!A45)&gt;1,1,0))</x:f>
        <x:v>0</x:v>
      </x:c>
      <x:c r="S49" s="112" t="n">
        <x:f>IF('Attempts'!A45="",0,IF(COUNTIF('Attempts'!$A$5:$A$204,'Attempts'!A45)&gt;1,1,0))</x:f>
        <x:v>0</x:v>
      </x:c>
      <x:c r="T49" s="112" t="n">
        <x:f>IF('Session Training Data'!A45="",0,IF(COUNTIF('Session Training Data'!$A$5:$A$204,'Session Training Data'!A45)&gt;1,1,0))</x:f>
        <x:v>0</x:v>
      </x:c>
    </x:row>
    <x:row r="50">
      <x:c r="G50" s="112" t="n">
        <x:f>IF('Sessions'!B46="",0,IF(COUNTIF('Participants'!$A$5:$A$204,'Sessions'!B46)=0,1,0))</x:f>
        <x:v>0</x:v>
      </x:c>
      <x:c r="H50" s="112" t="n">
        <x:f>IF('Attempts'!B46="",0,IF(COUNTIF('Sessions'!$A$5:$A$204,'Attempts'!B46)=0,1,0))</x:f>
        <x:v>0</x:v>
      </x:c>
      <x:c r="I50" s="112" t="n">
        <x:f>IF('Sessions'!A46="",0,IF(COUNTIF('Expert Labels'!$B$5:$B$204,'Sessions'!A46)=0,1,0))</x:f>
        <x:v>0</x:v>
      </x:c>
      <x:c r="J50" s="112" t="n">
        <x:f>IF('Expert Labels'!B46="",0,IF(COUNTIF('Expert Labels'!$B$5:$B$204,'Expert Labels'!B46)&gt;1,1,0))</x:f>
        <x:v>0</x:v>
      </x:c>
      <x:c r="K50" s="112" t="n">
        <x:f>IF('Expert Labels'!B46="",0,IF(COUNTIF('Sessions'!$A$5:$A$204,'Expert Labels'!B46)=0,1,0))</x:f>
        <x:v>0</x:v>
      </x:c>
      <x:c r="L50" s="112" t="n">
        <x:f>IF('Session Training Data'!A46="",0,IF(COUNTIF('Sessions'!$A$5:$A$204,'Session Training Data'!A46)=0,1,0))</x:f>
        <x:v>0</x:v>
      </x:c>
      <x:c r="M50" s="112" t="n">
        <x:f>IF('Session Training Data'!AF46="",0,IF(COUNTIF('Participants'!$A$5:$A$204,'Session Training Data'!AF46)=0,1,0))</x:f>
        <x:v>0</x:v>
      </x:c>
      <x:c r="N50" s="112" t="n">
        <x:f>IF(OR('Session Training Data'!A46="",'Session Training Data'!AF46=""),0,IF(COUNTIFS('Sessions'!$A$5:$A$204,'Session Training Data'!A46,'Sessions'!$B$5:$B$204,'Session Training Data'!AF46)=0,1,0))</x:f>
        <x:v>0</x:v>
      </x:c>
      <x:c r="O50" s="112" t="n">
        <x:f>IF('Session Training Data'!AF46="",0,IF(COUNTIFS('Participants'!$A$5:$A$204,'Session Training Data'!AF46,'Participants'!$D$5:$D$204,"yes")=0,1,0))</x:f>
        <x:v>0</x:v>
      </x:c>
      <x:c r="P50" s="112" t="n">
        <x:f>IF('Session Training Data'!AF46="",0,IF(COUNTIF('Session Training Data'!$AF$5:AF46,'Session Training Data'!AF46)=1,1,0))</x:f>
        <x:v>0</x:v>
      </x:c>
      <x:c r="Q50" s="112" t="n">
        <x:f>IF('Participants'!A46="",0,IF(COUNTIF('Participants'!$A$5:$A$204,'Participants'!A46)&gt;1,1,0))</x:f>
        <x:v>0</x:v>
      </x:c>
      <x:c r="R50" s="112" t="n">
        <x:f>IF('Sessions'!A46="",0,IF(COUNTIF('Sessions'!$A$5:$A$204,'Sessions'!A46)&gt;1,1,0))</x:f>
        <x:v>0</x:v>
      </x:c>
      <x:c r="S50" s="112" t="n">
        <x:f>IF('Attempts'!A46="",0,IF(COUNTIF('Attempts'!$A$5:$A$204,'Attempts'!A46)&gt;1,1,0))</x:f>
        <x:v>0</x:v>
      </x:c>
      <x:c r="T50" s="112" t="n">
        <x:f>IF('Session Training Data'!A46="",0,IF(COUNTIF('Session Training Data'!$A$5:$A$204,'Session Training Data'!A46)&gt;1,1,0))</x:f>
        <x:v>0</x:v>
      </x:c>
    </x:row>
    <x:row r="51">
      <x:c r="G51" s="112" t="n">
        <x:f>IF('Sessions'!B47="",0,IF(COUNTIF('Participants'!$A$5:$A$204,'Sessions'!B47)=0,1,0))</x:f>
        <x:v>0</x:v>
      </x:c>
      <x:c r="H51" s="112" t="n">
        <x:f>IF('Attempts'!B47="",0,IF(COUNTIF('Sessions'!$A$5:$A$204,'Attempts'!B47)=0,1,0))</x:f>
        <x:v>0</x:v>
      </x:c>
      <x:c r="I51" s="112" t="n">
        <x:f>IF('Sessions'!A47="",0,IF(COUNTIF('Expert Labels'!$B$5:$B$204,'Sessions'!A47)=0,1,0))</x:f>
        <x:v>0</x:v>
      </x:c>
      <x:c r="J51" s="112" t="n">
        <x:f>IF('Expert Labels'!B47="",0,IF(COUNTIF('Expert Labels'!$B$5:$B$204,'Expert Labels'!B47)&gt;1,1,0))</x:f>
        <x:v>0</x:v>
      </x:c>
      <x:c r="K51" s="112" t="n">
        <x:f>IF('Expert Labels'!B47="",0,IF(COUNTIF('Sessions'!$A$5:$A$204,'Expert Labels'!B47)=0,1,0))</x:f>
        <x:v>0</x:v>
      </x:c>
      <x:c r="L51" s="112" t="n">
        <x:f>IF('Session Training Data'!A47="",0,IF(COUNTIF('Sessions'!$A$5:$A$204,'Session Training Data'!A47)=0,1,0))</x:f>
        <x:v>0</x:v>
      </x:c>
      <x:c r="M51" s="112" t="n">
        <x:f>IF('Session Training Data'!AF47="",0,IF(COUNTIF('Participants'!$A$5:$A$204,'Session Training Data'!AF47)=0,1,0))</x:f>
        <x:v>0</x:v>
      </x:c>
      <x:c r="N51" s="112" t="n">
        <x:f>IF(OR('Session Training Data'!A47="",'Session Training Data'!AF47=""),0,IF(COUNTIFS('Sessions'!$A$5:$A$204,'Session Training Data'!A47,'Sessions'!$B$5:$B$204,'Session Training Data'!AF47)=0,1,0))</x:f>
        <x:v>0</x:v>
      </x:c>
      <x:c r="O51" s="112" t="n">
        <x:f>IF('Session Training Data'!AF47="",0,IF(COUNTIFS('Participants'!$A$5:$A$204,'Session Training Data'!AF47,'Participants'!$D$5:$D$204,"yes")=0,1,0))</x:f>
        <x:v>0</x:v>
      </x:c>
      <x:c r="P51" s="112" t="n">
        <x:f>IF('Session Training Data'!AF47="",0,IF(COUNTIF('Session Training Data'!$AF$5:AF47,'Session Training Data'!AF47)=1,1,0))</x:f>
        <x:v>0</x:v>
      </x:c>
      <x:c r="Q51" s="112" t="n">
        <x:f>IF('Participants'!A47="",0,IF(COUNTIF('Participants'!$A$5:$A$204,'Participants'!A47)&gt;1,1,0))</x:f>
        <x:v>0</x:v>
      </x:c>
      <x:c r="R51" s="112" t="n">
        <x:f>IF('Sessions'!A47="",0,IF(COUNTIF('Sessions'!$A$5:$A$204,'Sessions'!A47)&gt;1,1,0))</x:f>
        <x:v>0</x:v>
      </x:c>
      <x:c r="S51" s="112" t="n">
        <x:f>IF('Attempts'!A47="",0,IF(COUNTIF('Attempts'!$A$5:$A$204,'Attempts'!A47)&gt;1,1,0))</x:f>
        <x:v>0</x:v>
      </x:c>
      <x:c r="T51" s="112" t="n">
        <x:f>IF('Session Training Data'!A47="",0,IF(COUNTIF('Session Training Data'!$A$5:$A$204,'Session Training Data'!A47)&gt;1,1,0))</x:f>
        <x:v>0</x:v>
      </x:c>
    </x:row>
    <x:row r="52">
      <x:c r="G52" s="112" t="n">
        <x:f>IF('Sessions'!B48="",0,IF(COUNTIF('Participants'!$A$5:$A$204,'Sessions'!B48)=0,1,0))</x:f>
        <x:v>0</x:v>
      </x:c>
      <x:c r="H52" s="112" t="n">
        <x:f>IF('Attempts'!B48="",0,IF(COUNTIF('Sessions'!$A$5:$A$204,'Attempts'!B48)=0,1,0))</x:f>
        <x:v>0</x:v>
      </x:c>
      <x:c r="I52" s="112" t="n">
        <x:f>IF('Sessions'!A48="",0,IF(COUNTIF('Expert Labels'!$B$5:$B$204,'Sessions'!A48)=0,1,0))</x:f>
        <x:v>0</x:v>
      </x:c>
      <x:c r="J52" s="112" t="n">
        <x:f>IF('Expert Labels'!B48="",0,IF(COUNTIF('Expert Labels'!$B$5:$B$204,'Expert Labels'!B48)&gt;1,1,0))</x:f>
        <x:v>0</x:v>
      </x:c>
      <x:c r="K52" s="112" t="n">
        <x:f>IF('Expert Labels'!B48="",0,IF(COUNTIF('Sessions'!$A$5:$A$204,'Expert Labels'!B48)=0,1,0))</x:f>
        <x:v>0</x:v>
      </x:c>
      <x:c r="L52" s="112" t="n">
        <x:f>IF('Session Training Data'!A48="",0,IF(COUNTIF('Sessions'!$A$5:$A$204,'Session Training Data'!A48)=0,1,0))</x:f>
        <x:v>0</x:v>
      </x:c>
      <x:c r="M52" s="112" t="n">
        <x:f>IF('Session Training Data'!AF48="",0,IF(COUNTIF('Participants'!$A$5:$A$204,'Session Training Data'!AF48)=0,1,0))</x:f>
        <x:v>0</x:v>
      </x:c>
      <x:c r="N52" s="112" t="n">
        <x:f>IF(OR('Session Training Data'!A48="",'Session Training Data'!AF48=""),0,IF(COUNTIFS('Sessions'!$A$5:$A$204,'Session Training Data'!A48,'Sessions'!$B$5:$B$204,'Session Training Data'!AF48)=0,1,0))</x:f>
        <x:v>0</x:v>
      </x:c>
      <x:c r="O52" s="112" t="n">
        <x:f>IF('Session Training Data'!AF48="",0,IF(COUNTIFS('Participants'!$A$5:$A$204,'Session Training Data'!AF48,'Participants'!$D$5:$D$204,"yes")=0,1,0))</x:f>
        <x:v>0</x:v>
      </x:c>
      <x:c r="P52" s="112" t="n">
        <x:f>IF('Session Training Data'!AF48="",0,IF(COUNTIF('Session Training Data'!$AF$5:AF48,'Session Training Data'!AF48)=1,1,0))</x:f>
        <x:v>0</x:v>
      </x:c>
      <x:c r="Q52" s="112" t="n">
        <x:f>IF('Participants'!A48="",0,IF(COUNTIF('Participants'!$A$5:$A$204,'Participants'!A48)&gt;1,1,0))</x:f>
        <x:v>0</x:v>
      </x:c>
      <x:c r="R52" s="112" t="n">
        <x:f>IF('Sessions'!A48="",0,IF(COUNTIF('Sessions'!$A$5:$A$204,'Sessions'!A48)&gt;1,1,0))</x:f>
        <x:v>0</x:v>
      </x:c>
      <x:c r="S52" s="112" t="n">
        <x:f>IF('Attempts'!A48="",0,IF(COUNTIF('Attempts'!$A$5:$A$204,'Attempts'!A48)&gt;1,1,0))</x:f>
        <x:v>0</x:v>
      </x:c>
      <x:c r="T52" s="112" t="n">
        <x:f>IF('Session Training Data'!A48="",0,IF(COUNTIF('Session Training Data'!$A$5:$A$204,'Session Training Data'!A48)&gt;1,1,0))</x:f>
        <x:v>0</x:v>
      </x:c>
    </x:row>
    <x:row r="53">
      <x:c r="G53" s="112" t="n">
        <x:f>IF('Sessions'!B49="",0,IF(COUNTIF('Participants'!$A$5:$A$204,'Sessions'!B49)=0,1,0))</x:f>
        <x:v>0</x:v>
      </x:c>
      <x:c r="H53" s="112" t="n">
        <x:f>IF('Attempts'!B49="",0,IF(COUNTIF('Sessions'!$A$5:$A$204,'Attempts'!B49)=0,1,0))</x:f>
        <x:v>0</x:v>
      </x:c>
      <x:c r="I53" s="112" t="n">
        <x:f>IF('Sessions'!A49="",0,IF(COUNTIF('Expert Labels'!$B$5:$B$204,'Sessions'!A49)=0,1,0))</x:f>
        <x:v>0</x:v>
      </x:c>
      <x:c r="J53" s="112" t="n">
        <x:f>IF('Expert Labels'!B49="",0,IF(COUNTIF('Expert Labels'!$B$5:$B$204,'Expert Labels'!B49)&gt;1,1,0))</x:f>
        <x:v>0</x:v>
      </x:c>
      <x:c r="K53" s="112" t="n">
        <x:f>IF('Expert Labels'!B49="",0,IF(COUNTIF('Sessions'!$A$5:$A$204,'Expert Labels'!B49)=0,1,0))</x:f>
        <x:v>0</x:v>
      </x:c>
      <x:c r="L53" s="112" t="n">
        <x:f>IF('Session Training Data'!A49="",0,IF(COUNTIF('Sessions'!$A$5:$A$204,'Session Training Data'!A49)=0,1,0))</x:f>
        <x:v>0</x:v>
      </x:c>
      <x:c r="M53" s="112" t="n">
        <x:f>IF('Session Training Data'!AF49="",0,IF(COUNTIF('Participants'!$A$5:$A$204,'Session Training Data'!AF49)=0,1,0))</x:f>
        <x:v>0</x:v>
      </x:c>
      <x:c r="N53" s="112" t="n">
        <x:f>IF(OR('Session Training Data'!A49="",'Session Training Data'!AF49=""),0,IF(COUNTIFS('Sessions'!$A$5:$A$204,'Session Training Data'!A49,'Sessions'!$B$5:$B$204,'Session Training Data'!AF49)=0,1,0))</x:f>
        <x:v>0</x:v>
      </x:c>
      <x:c r="O53" s="112" t="n">
        <x:f>IF('Session Training Data'!AF49="",0,IF(COUNTIFS('Participants'!$A$5:$A$204,'Session Training Data'!AF49,'Participants'!$D$5:$D$204,"yes")=0,1,0))</x:f>
        <x:v>0</x:v>
      </x:c>
      <x:c r="P53" s="112" t="n">
        <x:f>IF('Session Training Data'!AF49="",0,IF(COUNTIF('Session Training Data'!$AF$5:AF49,'Session Training Data'!AF49)=1,1,0))</x:f>
        <x:v>0</x:v>
      </x:c>
      <x:c r="Q53" s="112" t="n">
        <x:f>IF('Participants'!A49="",0,IF(COUNTIF('Participants'!$A$5:$A$204,'Participants'!A49)&gt;1,1,0))</x:f>
        <x:v>0</x:v>
      </x:c>
      <x:c r="R53" s="112" t="n">
        <x:f>IF('Sessions'!A49="",0,IF(COUNTIF('Sessions'!$A$5:$A$204,'Sessions'!A49)&gt;1,1,0))</x:f>
        <x:v>0</x:v>
      </x:c>
      <x:c r="S53" s="112" t="n">
        <x:f>IF('Attempts'!A49="",0,IF(COUNTIF('Attempts'!$A$5:$A$204,'Attempts'!A49)&gt;1,1,0))</x:f>
        <x:v>0</x:v>
      </x:c>
      <x:c r="T53" s="112" t="n">
        <x:f>IF('Session Training Data'!A49="",0,IF(COUNTIF('Session Training Data'!$A$5:$A$204,'Session Training Data'!A49)&gt;1,1,0))</x:f>
        <x:v>0</x:v>
      </x:c>
    </x:row>
    <x:row r="54">
      <x:c r="G54" s="112" t="n">
        <x:f>IF('Sessions'!B50="",0,IF(COUNTIF('Participants'!$A$5:$A$204,'Sessions'!B50)=0,1,0))</x:f>
        <x:v>0</x:v>
      </x:c>
      <x:c r="H54" s="112" t="n">
        <x:f>IF('Attempts'!B50="",0,IF(COUNTIF('Sessions'!$A$5:$A$204,'Attempts'!B50)=0,1,0))</x:f>
        <x:v>0</x:v>
      </x:c>
      <x:c r="I54" s="112" t="n">
        <x:f>IF('Sessions'!A50="",0,IF(COUNTIF('Expert Labels'!$B$5:$B$204,'Sessions'!A50)=0,1,0))</x:f>
        <x:v>0</x:v>
      </x:c>
      <x:c r="J54" s="112" t="n">
        <x:f>IF('Expert Labels'!B50="",0,IF(COUNTIF('Expert Labels'!$B$5:$B$204,'Expert Labels'!B50)&gt;1,1,0))</x:f>
        <x:v>0</x:v>
      </x:c>
      <x:c r="K54" s="112" t="n">
        <x:f>IF('Expert Labels'!B50="",0,IF(COUNTIF('Sessions'!$A$5:$A$204,'Expert Labels'!B50)=0,1,0))</x:f>
        <x:v>0</x:v>
      </x:c>
      <x:c r="L54" s="112" t="n">
        <x:f>IF('Session Training Data'!A50="",0,IF(COUNTIF('Sessions'!$A$5:$A$204,'Session Training Data'!A50)=0,1,0))</x:f>
        <x:v>0</x:v>
      </x:c>
      <x:c r="M54" s="112" t="n">
        <x:f>IF('Session Training Data'!AF50="",0,IF(COUNTIF('Participants'!$A$5:$A$204,'Session Training Data'!AF50)=0,1,0))</x:f>
        <x:v>0</x:v>
      </x:c>
      <x:c r="N54" s="112" t="n">
        <x:f>IF(OR('Session Training Data'!A50="",'Session Training Data'!AF50=""),0,IF(COUNTIFS('Sessions'!$A$5:$A$204,'Session Training Data'!A50,'Sessions'!$B$5:$B$204,'Session Training Data'!AF50)=0,1,0))</x:f>
        <x:v>0</x:v>
      </x:c>
      <x:c r="O54" s="112" t="n">
        <x:f>IF('Session Training Data'!AF50="",0,IF(COUNTIFS('Participants'!$A$5:$A$204,'Session Training Data'!AF50,'Participants'!$D$5:$D$204,"yes")=0,1,0))</x:f>
        <x:v>0</x:v>
      </x:c>
      <x:c r="P54" s="112" t="n">
        <x:f>IF('Session Training Data'!AF50="",0,IF(COUNTIF('Session Training Data'!$AF$5:AF50,'Session Training Data'!AF50)=1,1,0))</x:f>
        <x:v>0</x:v>
      </x:c>
      <x:c r="Q54" s="112" t="n">
        <x:f>IF('Participants'!A50="",0,IF(COUNTIF('Participants'!$A$5:$A$204,'Participants'!A50)&gt;1,1,0))</x:f>
        <x:v>0</x:v>
      </x:c>
      <x:c r="R54" s="112" t="n">
        <x:f>IF('Sessions'!A50="",0,IF(COUNTIF('Sessions'!$A$5:$A$204,'Sessions'!A50)&gt;1,1,0))</x:f>
        <x:v>0</x:v>
      </x:c>
      <x:c r="S54" s="112" t="n">
        <x:f>IF('Attempts'!A50="",0,IF(COUNTIF('Attempts'!$A$5:$A$204,'Attempts'!A50)&gt;1,1,0))</x:f>
        <x:v>0</x:v>
      </x:c>
      <x:c r="T54" s="112" t="n">
        <x:f>IF('Session Training Data'!A50="",0,IF(COUNTIF('Session Training Data'!$A$5:$A$204,'Session Training Data'!A50)&gt;1,1,0))</x:f>
        <x:v>0</x:v>
      </x:c>
    </x:row>
    <x:row r="55">
      <x:c r="G55" s="112" t="n">
        <x:f>IF('Sessions'!B51="",0,IF(COUNTIF('Participants'!$A$5:$A$204,'Sessions'!B51)=0,1,0))</x:f>
        <x:v>0</x:v>
      </x:c>
      <x:c r="H55" s="112" t="n">
        <x:f>IF('Attempts'!B51="",0,IF(COUNTIF('Sessions'!$A$5:$A$204,'Attempts'!B51)=0,1,0))</x:f>
        <x:v>0</x:v>
      </x:c>
      <x:c r="I55" s="112" t="n">
        <x:f>IF('Sessions'!A51="",0,IF(COUNTIF('Expert Labels'!$B$5:$B$204,'Sessions'!A51)=0,1,0))</x:f>
        <x:v>0</x:v>
      </x:c>
      <x:c r="J55" s="112" t="n">
        <x:f>IF('Expert Labels'!B51="",0,IF(COUNTIF('Expert Labels'!$B$5:$B$204,'Expert Labels'!B51)&gt;1,1,0))</x:f>
        <x:v>0</x:v>
      </x:c>
      <x:c r="K55" s="112" t="n">
        <x:f>IF('Expert Labels'!B51="",0,IF(COUNTIF('Sessions'!$A$5:$A$204,'Expert Labels'!B51)=0,1,0))</x:f>
        <x:v>0</x:v>
      </x:c>
      <x:c r="L55" s="112" t="n">
        <x:f>IF('Session Training Data'!A51="",0,IF(COUNTIF('Sessions'!$A$5:$A$204,'Session Training Data'!A51)=0,1,0))</x:f>
        <x:v>0</x:v>
      </x:c>
      <x:c r="M55" s="112" t="n">
        <x:f>IF('Session Training Data'!AF51="",0,IF(COUNTIF('Participants'!$A$5:$A$204,'Session Training Data'!AF51)=0,1,0))</x:f>
        <x:v>0</x:v>
      </x:c>
      <x:c r="N55" s="112" t="n">
        <x:f>IF(OR('Session Training Data'!A51="",'Session Training Data'!AF51=""),0,IF(COUNTIFS('Sessions'!$A$5:$A$204,'Session Training Data'!A51,'Sessions'!$B$5:$B$204,'Session Training Data'!AF51)=0,1,0))</x:f>
        <x:v>0</x:v>
      </x:c>
      <x:c r="O55" s="112" t="n">
        <x:f>IF('Session Training Data'!AF51="",0,IF(COUNTIFS('Participants'!$A$5:$A$204,'Session Training Data'!AF51,'Participants'!$D$5:$D$204,"yes")=0,1,0))</x:f>
        <x:v>0</x:v>
      </x:c>
      <x:c r="P55" s="112" t="n">
        <x:f>IF('Session Training Data'!AF51="",0,IF(COUNTIF('Session Training Data'!$AF$5:AF51,'Session Training Data'!AF51)=1,1,0))</x:f>
        <x:v>0</x:v>
      </x:c>
      <x:c r="Q55" s="112" t="n">
        <x:f>IF('Participants'!A51="",0,IF(COUNTIF('Participants'!$A$5:$A$204,'Participants'!A51)&gt;1,1,0))</x:f>
        <x:v>0</x:v>
      </x:c>
      <x:c r="R55" s="112" t="n">
        <x:f>IF('Sessions'!A51="",0,IF(COUNTIF('Sessions'!$A$5:$A$204,'Sessions'!A51)&gt;1,1,0))</x:f>
        <x:v>0</x:v>
      </x:c>
      <x:c r="S55" s="112" t="n">
        <x:f>IF('Attempts'!A51="",0,IF(COUNTIF('Attempts'!$A$5:$A$204,'Attempts'!A51)&gt;1,1,0))</x:f>
        <x:v>0</x:v>
      </x:c>
      <x:c r="T55" s="112" t="n">
        <x:f>IF('Session Training Data'!A51="",0,IF(COUNTIF('Session Training Data'!$A$5:$A$204,'Session Training Data'!A51)&gt;1,1,0))</x:f>
        <x:v>0</x:v>
      </x:c>
    </x:row>
    <x:row r="56">
      <x:c r="G56" s="112" t="n">
        <x:f>IF('Sessions'!B52="",0,IF(COUNTIF('Participants'!$A$5:$A$204,'Sessions'!B52)=0,1,0))</x:f>
        <x:v>0</x:v>
      </x:c>
      <x:c r="H56" s="112" t="n">
        <x:f>IF('Attempts'!B52="",0,IF(COUNTIF('Sessions'!$A$5:$A$204,'Attempts'!B52)=0,1,0))</x:f>
        <x:v>0</x:v>
      </x:c>
      <x:c r="I56" s="112" t="n">
        <x:f>IF('Sessions'!A52="",0,IF(COUNTIF('Expert Labels'!$B$5:$B$204,'Sessions'!A52)=0,1,0))</x:f>
        <x:v>0</x:v>
      </x:c>
      <x:c r="J56" s="112" t="n">
        <x:f>IF('Expert Labels'!B52="",0,IF(COUNTIF('Expert Labels'!$B$5:$B$204,'Expert Labels'!B52)&gt;1,1,0))</x:f>
        <x:v>0</x:v>
      </x:c>
      <x:c r="K56" s="112" t="n">
        <x:f>IF('Expert Labels'!B52="",0,IF(COUNTIF('Sessions'!$A$5:$A$204,'Expert Labels'!B52)=0,1,0))</x:f>
        <x:v>0</x:v>
      </x:c>
      <x:c r="L56" s="112" t="n">
        <x:f>IF('Session Training Data'!A52="",0,IF(COUNTIF('Sessions'!$A$5:$A$204,'Session Training Data'!A52)=0,1,0))</x:f>
        <x:v>0</x:v>
      </x:c>
      <x:c r="M56" s="112" t="n">
        <x:f>IF('Session Training Data'!AF52="",0,IF(COUNTIF('Participants'!$A$5:$A$204,'Session Training Data'!AF52)=0,1,0))</x:f>
        <x:v>0</x:v>
      </x:c>
      <x:c r="N56" s="112" t="n">
        <x:f>IF(OR('Session Training Data'!A52="",'Session Training Data'!AF52=""),0,IF(COUNTIFS('Sessions'!$A$5:$A$204,'Session Training Data'!A52,'Sessions'!$B$5:$B$204,'Session Training Data'!AF52)=0,1,0))</x:f>
        <x:v>0</x:v>
      </x:c>
      <x:c r="O56" s="112" t="n">
        <x:f>IF('Session Training Data'!AF52="",0,IF(COUNTIFS('Participants'!$A$5:$A$204,'Session Training Data'!AF52,'Participants'!$D$5:$D$204,"yes")=0,1,0))</x:f>
        <x:v>0</x:v>
      </x:c>
      <x:c r="P56" s="112" t="n">
        <x:f>IF('Session Training Data'!AF52="",0,IF(COUNTIF('Session Training Data'!$AF$5:AF52,'Session Training Data'!AF52)=1,1,0))</x:f>
        <x:v>0</x:v>
      </x:c>
      <x:c r="Q56" s="112" t="n">
        <x:f>IF('Participants'!A52="",0,IF(COUNTIF('Participants'!$A$5:$A$204,'Participants'!A52)&gt;1,1,0))</x:f>
        <x:v>0</x:v>
      </x:c>
      <x:c r="R56" s="112" t="n">
        <x:f>IF('Sessions'!A52="",0,IF(COUNTIF('Sessions'!$A$5:$A$204,'Sessions'!A52)&gt;1,1,0))</x:f>
        <x:v>0</x:v>
      </x:c>
      <x:c r="S56" s="112" t="n">
        <x:f>IF('Attempts'!A52="",0,IF(COUNTIF('Attempts'!$A$5:$A$204,'Attempts'!A52)&gt;1,1,0))</x:f>
        <x:v>0</x:v>
      </x:c>
      <x:c r="T56" s="112" t="n">
        <x:f>IF('Session Training Data'!A52="",0,IF(COUNTIF('Session Training Data'!$A$5:$A$204,'Session Training Data'!A52)&gt;1,1,0))</x:f>
        <x:v>0</x:v>
      </x:c>
    </x:row>
    <x:row r="57">
      <x:c r="G57" s="112" t="n">
        <x:f>IF('Sessions'!B53="",0,IF(COUNTIF('Participants'!$A$5:$A$204,'Sessions'!B53)=0,1,0))</x:f>
        <x:v>0</x:v>
      </x:c>
      <x:c r="H57" s="112" t="n">
        <x:f>IF('Attempts'!B53="",0,IF(COUNTIF('Sessions'!$A$5:$A$204,'Attempts'!B53)=0,1,0))</x:f>
        <x:v>0</x:v>
      </x:c>
      <x:c r="I57" s="112" t="n">
        <x:f>IF('Sessions'!A53="",0,IF(COUNTIF('Expert Labels'!$B$5:$B$204,'Sessions'!A53)=0,1,0))</x:f>
        <x:v>0</x:v>
      </x:c>
      <x:c r="J57" s="112" t="n">
        <x:f>IF('Expert Labels'!B53="",0,IF(COUNTIF('Expert Labels'!$B$5:$B$204,'Expert Labels'!B53)&gt;1,1,0))</x:f>
        <x:v>0</x:v>
      </x:c>
      <x:c r="K57" s="112" t="n">
        <x:f>IF('Expert Labels'!B53="",0,IF(COUNTIF('Sessions'!$A$5:$A$204,'Expert Labels'!B53)=0,1,0))</x:f>
        <x:v>0</x:v>
      </x:c>
      <x:c r="L57" s="112" t="n">
        <x:f>IF('Session Training Data'!A53="",0,IF(COUNTIF('Sessions'!$A$5:$A$204,'Session Training Data'!A53)=0,1,0))</x:f>
        <x:v>0</x:v>
      </x:c>
      <x:c r="M57" s="112" t="n">
        <x:f>IF('Session Training Data'!AF53="",0,IF(COUNTIF('Participants'!$A$5:$A$204,'Session Training Data'!AF53)=0,1,0))</x:f>
        <x:v>0</x:v>
      </x:c>
      <x:c r="N57" s="112" t="n">
        <x:f>IF(OR('Session Training Data'!A53="",'Session Training Data'!AF53=""),0,IF(COUNTIFS('Sessions'!$A$5:$A$204,'Session Training Data'!A53,'Sessions'!$B$5:$B$204,'Session Training Data'!AF53)=0,1,0))</x:f>
        <x:v>0</x:v>
      </x:c>
      <x:c r="O57" s="112" t="n">
        <x:f>IF('Session Training Data'!AF53="",0,IF(COUNTIFS('Participants'!$A$5:$A$204,'Session Training Data'!AF53,'Participants'!$D$5:$D$204,"yes")=0,1,0))</x:f>
        <x:v>0</x:v>
      </x:c>
      <x:c r="P57" s="112" t="n">
        <x:f>IF('Session Training Data'!AF53="",0,IF(COUNTIF('Session Training Data'!$AF$5:AF53,'Session Training Data'!AF53)=1,1,0))</x:f>
        <x:v>0</x:v>
      </x:c>
      <x:c r="Q57" s="112" t="n">
        <x:f>IF('Participants'!A53="",0,IF(COUNTIF('Participants'!$A$5:$A$204,'Participants'!A53)&gt;1,1,0))</x:f>
        <x:v>0</x:v>
      </x:c>
      <x:c r="R57" s="112" t="n">
        <x:f>IF('Sessions'!A53="",0,IF(COUNTIF('Sessions'!$A$5:$A$204,'Sessions'!A53)&gt;1,1,0))</x:f>
        <x:v>0</x:v>
      </x:c>
      <x:c r="S57" s="112" t="n">
        <x:f>IF('Attempts'!A53="",0,IF(COUNTIF('Attempts'!$A$5:$A$204,'Attempts'!A53)&gt;1,1,0))</x:f>
        <x:v>0</x:v>
      </x:c>
      <x:c r="T57" s="112" t="n">
        <x:f>IF('Session Training Data'!A53="",0,IF(COUNTIF('Session Training Data'!$A$5:$A$204,'Session Training Data'!A53)&gt;1,1,0))</x:f>
        <x:v>0</x:v>
      </x:c>
    </x:row>
    <x:row r="58">
      <x:c r="G58" s="112" t="n">
        <x:f>IF('Sessions'!B54="",0,IF(COUNTIF('Participants'!$A$5:$A$204,'Sessions'!B54)=0,1,0))</x:f>
        <x:v>0</x:v>
      </x:c>
      <x:c r="H58" s="112" t="n">
        <x:f>IF('Attempts'!B54="",0,IF(COUNTIF('Sessions'!$A$5:$A$204,'Attempts'!B54)=0,1,0))</x:f>
        <x:v>0</x:v>
      </x:c>
      <x:c r="I58" s="112" t="n">
        <x:f>IF('Sessions'!A54="",0,IF(COUNTIF('Expert Labels'!$B$5:$B$204,'Sessions'!A54)=0,1,0))</x:f>
        <x:v>0</x:v>
      </x:c>
      <x:c r="J58" s="112" t="n">
        <x:f>IF('Expert Labels'!B54="",0,IF(COUNTIF('Expert Labels'!$B$5:$B$204,'Expert Labels'!B54)&gt;1,1,0))</x:f>
        <x:v>0</x:v>
      </x:c>
      <x:c r="K58" s="112" t="n">
        <x:f>IF('Expert Labels'!B54="",0,IF(COUNTIF('Sessions'!$A$5:$A$204,'Expert Labels'!B54)=0,1,0))</x:f>
        <x:v>0</x:v>
      </x:c>
      <x:c r="L58" s="112" t="n">
        <x:f>IF('Session Training Data'!A54="",0,IF(COUNTIF('Sessions'!$A$5:$A$204,'Session Training Data'!A54)=0,1,0))</x:f>
        <x:v>0</x:v>
      </x:c>
      <x:c r="M58" s="112" t="n">
        <x:f>IF('Session Training Data'!AF54="",0,IF(COUNTIF('Participants'!$A$5:$A$204,'Session Training Data'!AF54)=0,1,0))</x:f>
        <x:v>0</x:v>
      </x:c>
      <x:c r="N58" s="112" t="n">
        <x:f>IF(OR('Session Training Data'!A54="",'Session Training Data'!AF54=""),0,IF(COUNTIFS('Sessions'!$A$5:$A$204,'Session Training Data'!A54,'Sessions'!$B$5:$B$204,'Session Training Data'!AF54)=0,1,0))</x:f>
        <x:v>0</x:v>
      </x:c>
      <x:c r="O58" s="112" t="n">
        <x:f>IF('Session Training Data'!AF54="",0,IF(COUNTIFS('Participants'!$A$5:$A$204,'Session Training Data'!AF54,'Participants'!$D$5:$D$204,"yes")=0,1,0))</x:f>
        <x:v>0</x:v>
      </x:c>
      <x:c r="P58" s="112" t="n">
        <x:f>IF('Session Training Data'!AF54="",0,IF(COUNTIF('Session Training Data'!$AF$5:AF54,'Session Training Data'!AF54)=1,1,0))</x:f>
        <x:v>0</x:v>
      </x:c>
      <x:c r="Q58" s="112" t="n">
        <x:f>IF('Participants'!A54="",0,IF(COUNTIF('Participants'!$A$5:$A$204,'Participants'!A54)&gt;1,1,0))</x:f>
        <x:v>0</x:v>
      </x:c>
      <x:c r="R58" s="112" t="n">
        <x:f>IF('Sessions'!A54="",0,IF(COUNTIF('Sessions'!$A$5:$A$204,'Sessions'!A54)&gt;1,1,0))</x:f>
        <x:v>0</x:v>
      </x:c>
      <x:c r="S58" s="112" t="n">
        <x:f>IF('Attempts'!A54="",0,IF(COUNTIF('Attempts'!$A$5:$A$204,'Attempts'!A54)&gt;1,1,0))</x:f>
        <x:v>0</x:v>
      </x:c>
      <x:c r="T58" s="112" t="n">
        <x:f>IF('Session Training Data'!A54="",0,IF(COUNTIF('Session Training Data'!$A$5:$A$204,'Session Training Data'!A54)&gt;1,1,0))</x:f>
        <x:v>0</x:v>
      </x:c>
    </x:row>
    <x:row r="59">
      <x:c r="G59" s="112" t="n">
        <x:f>IF('Sessions'!B55="",0,IF(COUNTIF('Participants'!$A$5:$A$204,'Sessions'!B55)=0,1,0))</x:f>
        <x:v>0</x:v>
      </x:c>
      <x:c r="H59" s="112" t="n">
        <x:f>IF('Attempts'!B55="",0,IF(COUNTIF('Sessions'!$A$5:$A$204,'Attempts'!B55)=0,1,0))</x:f>
        <x:v>0</x:v>
      </x:c>
      <x:c r="I59" s="112" t="n">
        <x:f>IF('Sessions'!A55="",0,IF(COUNTIF('Expert Labels'!$B$5:$B$204,'Sessions'!A55)=0,1,0))</x:f>
        <x:v>0</x:v>
      </x:c>
      <x:c r="J59" s="112" t="n">
        <x:f>IF('Expert Labels'!B55="",0,IF(COUNTIF('Expert Labels'!$B$5:$B$204,'Expert Labels'!B55)&gt;1,1,0))</x:f>
        <x:v>0</x:v>
      </x:c>
      <x:c r="K59" s="112" t="n">
        <x:f>IF('Expert Labels'!B55="",0,IF(COUNTIF('Sessions'!$A$5:$A$204,'Expert Labels'!B55)=0,1,0))</x:f>
        <x:v>0</x:v>
      </x:c>
      <x:c r="L59" s="112" t="n">
        <x:f>IF('Session Training Data'!A55="",0,IF(COUNTIF('Sessions'!$A$5:$A$204,'Session Training Data'!A55)=0,1,0))</x:f>
        <x:v>0</x:v>
      </x:c>
      <x:c r="M59" s="112" t="n">
        <x:f>IF('Session Training Data'!AF55="",0,IF(COUNTIF('Participants'!$A$5:$A$204,'Session Training Data'!AF55)=0,1,0))</x:f>
        <x:v>0</x:v>
      </x:c>
      <x:c r="N59" s="112" t="n">
        <x:f>IF(OR('Session Training Data'!A55="",'Session Training Data'!AF55=""),0,IF(COUNTIFS('Sessions'!$A$5:$A$204,'Session Training Data'!A55,'Sessions'!$B$5:$B$204,'Session Training Data'!AF55)=0,1,0))</x:f>
        <x:v>0</x:v>
      </x:c>
      <x:c r="O59" s="112" t="n">
        <x:f>IF('Session Training Data'!AF55="",0,IF(COUNTIFS('Participants'!$A$5:$A$204,'Session Training Data'!AF55,'Participants'!$D$5:$D$204,"yes")=0,1,0))</x:f>
        <x:v>0</x:v>
      </x:c>
      <x:c r="P59" s="112" t="n">
        <x:f>IF('Session Training Data'!AF55="",0,IF(COUNTIF('Session Training Data'!$AF$5:AF55,'Session Training Data'!AF55)=1,1,0))</x:f>
        <x:v>0</x:v>
      </x:c>
      <x:c r="Q59" s="112" t="n">
        <x:f>IF('Participants'!A55="",0,IF(COUNTIF('Participants'!$A$5:$A$204,'Participants'!A55)&gt;1,1,0))</x:f>
        <x:v>0</x:v>
      </x:c>
      <x:c r="R59" s="112" t="n">
        <x:f>IF('Sessions'!A55="",0,IF(COUNTIF('Sessions'!$A$5:$A$204,'Sessions'!A55)&gt;1,1,0))</x:f>
        <x:v>0</x:v>
      </x:c>
      <x:c r="S59" s="112" t="n">
        <x:f>IF('Attempts'!A55="",0,IF(COUNTIF('Attempts'!$A$5:$A$204,'Attempts'!A55)&gt;1,1,0))</x:f>
        <x:v>0</x:v>
      </x:c>
      <x:c r="T59" s="112" t="n">
        <x:f>IF('Session Training Data'!A55="",0,IF(COUNTIF('Session Training Data'!$A$5:$A$204,'Session Training Data'!A55)&gt;1,1,0))</x:f>
        <x:v>0</x:v>
      </x:c>
    </x:row>
    <x:row r="60">
      <x:c r="G60" s="112" t="n">
        <x:f>IF('Sessions'!B56="",0,IF(COUNTIF('Participants'!$A$5:$A$204,'Sessions'!B56)=0,1,0))</x:f>
        <x:v>0</x:v>
      </x:c>
      <x:c r="H60" s="112" t="n">
        <x:f>IF('Attempts'!B56="",0,IF(COUNTIF('Sessions'!$A$5:$A$204,'Attempts'!B56)=0,1,0))</x:f>
        <x:v>0</x:v>
      </x:c>
      <x:c r="I60" s="112" t="n">
        <x:f>IF('Sessions'!A56="",0,IF(COUNTIF('Expert Labels'!$B$5:$B$204,'Sessions'!A56)=0,1,0))</x:f>
        <x:v>0</x:v>
      </x:c>
      <x:c r="J60" s="112" t="n">
        <x:f>IF('Expert Labels'!B56="",0,IF(COUNTIF('Expert Labels'!$B$5:$B$204,'Expert Labels'!B56)&gt;1,1,0))</x:f>
        <x:v>0</x:v>
      </x:c>
      <x:c r="K60" s="112" t="n">
        <x:f>IF('Expert Labels'!B56="",0,IF(COUNTIF('Sessions'!$A$5:$A$204,'Expert Labels'!B56)=0,1,0))</x:f>
        <x:v>0</x:v>
      </x:c>
      <x:c r="L60" s="112" t="n">
        <x:f>IF('Session Training Data'!A56="",0,IF(COUNTIF('Sessions'!$A$5:$A$204,'Session Training Data'!A56)=0,1,0))</x:f>
        <x:v>0</x:v>
      </x:c>
      <x:c r="M60" s="112" t="n">
        <x:f>IF('Session Training Data'!AF56="",0,IF(COUNTIF('Participants'!$A$5:$A$204,'Session Training Data'!AF56)=0,1,0))</x:f>
        <x:v>0</x:v>
      </x:c>
      <x:c r="N60" s="112" t="n">
        <x:f>IF(OR('Session Training Data'!A56="",'Session Training Data'!AF56=""),0,IF(COUNTIFS('Sessions'!$A$5:$A$204,'Session Training Data'!A56,'Sessions'!$B$5:$B$204,'Session Training Data'!AF56)=0,1,0))</x:f>
        <x:v>0</x:v>
      </x:c>
      <x:c r="O60" s="112" t="n">
        <x:f>IF('Session Training Data'!AF56="",0,IF(COUNTIFS('Participants'!$A$5:$A$204,'Session Training Data'!AF56,'Participants'!$D$5:$D$204,"yes")=0,1,0))</x:f>
        <x:v>0</x:v>
      </x:c>
      <x:c r="P60" s="112" t="n">
        <x:f>IF('Session Training Data'!AF56="",0,IF(COUNTIF('Session Training Data'!$AF$5:AF56,'Session Training Data'!AF56)=1,1,0))</x:f>
        <x:v>0</x:v>
      </x:c>
      <x:c r="Q60" s="112" t="n">
        <x:f>IF('Participants'!A56="",0,IF(COUNTIF('Participants'!$A$5:$A$204,'Participants'!A56)&gt;1,1,0))</x:f>
        <x:v>0</x:v>
      </x:c>
      <x:c r="R60" s="112" t="n">
        <x:f>IF('Sessions'!A56="",0,IF(COUNTIF('Sessions'!$A$5:$A$204,'Sessions'!A56)&gt;1,1,0))</x:f>
        <x:v>0</x:v>
      </x:c>
      <x:c r="S60" s="112" t="n">
        <x:f>IF('Attempts'!A56="",0,IF(COUNTIF('Attempts'!$A$5:$A$204,'Attempts'!A56)&gt;1,1,0))</x:f>
        <x:v>0</x:v>
      </x:c>
      <x:c r="T60" s="112" t="n">
        <x:f>IF('Session Training Data'!A56="",0,IF(COUNTIF('Session Training Data'!$A$5:$A$204,'Session Training Data'!A56)&gt;1,1,0))</x:f>
        <x:v>0</x:v>
      </x:c>
    </x:row>
    <x:row r="61">
      <x:c r="G61" s="112" t="n">
        <x:f>IF('Sessions'!B57="",0,IF(COUNTIF('Participants'!$A$5:$A$204,'Sessions'!B57)=0,1,0))</x:f>
        <x:v>0</x:v>
      </x:c>
      <x:c r="H61" s="112" t="n">
        <x:f>IF('Attempts'!B57="",0,IF(COUNTIF('Sessions'!$A$5:$A$204,'Attempts'!B57)=0,1,0))</x:f>
        <x:v>0</x:v>
      </x:c>
      <x:c r="I61" s="112" t="n">
        <x:f>IF('Sessions'!A57="",0,IF(COUNTIF('Expert Labels'!$B$5:$B$204,'Sessions'!A57)=0,1,0))</x:f>
        <x:v>0</x:v>
      </x:c>
      <x:c r="J61" s="112" t="n">
        <x:f>IF('Expert Labels'!B57="",0,IF(COUNTIF('Expert Labels'!$B$5:$B$204,'Expert Labels'!B57)&gt;1,1,0))</x:f>
        <x:v>0</x:v>
      </x:c>
      <x:c r="K61" s="112" t="n">
        <x:f>IF('Expert Labels'!B57="",0,IF(COUNTIF('Sessions'!$A$5:$A$204,'Expert Labels'!B57)=0,1,0))</x:f>
        <x:v>0</x:v>
      </x:c>
      <x:c r="L61" s="112" t="n">
        <x:f>IF('Session Training Data'!A57="",0,IF(COUNTIF('Sessions'!$A$5:$A$204,'Session Training Data'!A57)=0,1,0))</x:f>
        <x:v>0</x:v>
      </x:c>
      <x:c r="M61" s="112" t="n">
        <x:f>IF('Session Training Data'!AF57="",0,IF(COUNTIF('Participants'!$A$5:$A$204,'Session Training Data'!AF57)=0,1,0))</x:f>
        <x:v>0</x:v>
      </x:c>
      <x:c r="N61" s="112" t="n">
        <x:f>IF(OR('Session Training Data'!A57="",'Session Training Data'!AF57=""),0,IF(COUNTIFS('Sessions'!$A$5:$A$204,'Session Training Data'!A57,'Sessions'!$B$5:$B$204,'Session Training Data'!AF57)=0,1,0))</x:f>
        <x:v>0</x:v>
      </x:c>
      <x:c r="O61" s="112" t="n">
        <x:f>IF('Session Training Data'!AF57="",0,IF(COUNTIFS('Participants'!$A$5:$A$204,'Session Training Data'!AF57,'Participants'!$D$5:$D$204,"yes")=0,1,0))</x:f>
        <x:v>0</x:v>
      </x:c>
      <x:c r="P61" s="112" t="n">
        <x:f>IF('Session Training Data'!AF57="",0,IF(COUNTIF('Session Training Data'!$AF$5:AF57,'Session Training Data'!AF57)=1,1,0))</x:f>
        <x:v>0</x:v>
      </x:c>
      <x:c r="Q61" s="112" t="n">
        <x:f>IF('Participants'!A57="",0,IF(COUNTIF('Participants'!$A$5:$A$204,'Participants'!A57)&gt;1,1,0))</x:f>
        <x:v>0</x:v>
      </x:c>
      <x:c r="R61" s="112" t="n">
        <x:f>IF('Sessions'!A57="",0,IF(COUNTIF('Sessions'!$A$5:$A$204,'Sessions'!A57)&gt;1,1,0))</x:f>
        <x:v>0</x:v>
      </x:c>
      <x:c r="S61" s="112" t="n">
        <x:f>IF('Attempts'!A57="",0,IF(COUNTIF('Attempts'!$A$5:$A$204,'Attempts'!A57)&gt;1,1,0))</x:f>
        <x:v>0</x:v>
      </x:c>
      <x:c r="T61" s="112" t="n">
        <x:f>IF('Session Training Data'!A57="",0,IF(COUNTIF('Session Training Data'!$A$5:$A$204,'Session Training Data'!A57)&gt;1,1,0))</x:f>
        <x:v>0</x:v>
      </x:c>
    </x:row>
    <x:row r="62">
      <x:c r="G62" s="112" t="n">
        <x:f>IF('Sessions'!B58="",0,IF(COUNTIF('Participants'!$A$5:$A$204,'Sessions'!B58)=0,1,0))</x:f>
        <x:v>0</x:v>
      </x:c>
      <x:c r="H62" s="112" t="n">
        <x:f>IF('Attempts'!B58="",0,IF(COUNTIF('Sessions'!$A$5:$A$204,'Attempts'!B58)=0,1,0))</x:f>
        <x:v>0</x:v>
      </x:c>
      <x:c r="I62" s="112" t="n">
        <x:f>IF('Sessions'!A58="",0,IF(COUNTIF('Expert Labels'!$B$5:$B$204,'Sessions'!A58)=0,1,0))</x:f>
        <x:v>0</x:v>
      </x:c>
      <x:c r="J62" s="112" t="n">
        <x:f>IF('Expert Labels'!B58="",0,IF(COUNTIF('Expert Labels'!$B$5:$B$204,'Expert Labels'!B58)&gt;1,1,0))</x:f>
        <x:v>0</x:v>
      </x:c>
      <x:c r="K62" s="112" t="n">
        <x:f>IF('Expert Labels'!B58="",0,IF(COUNTIF('Sessions'!$A$5:$A$204,'Expert Labels'!B58)=0,1,0))</x:f>
        <x:v>0</x:v>
      </x:c>
      <x:c r="L62" s="112" t="n">
        <x:f>IF('Session Training Data'!A58="",0,IF(COUNTIF('Sessions'!$A$5:$A$204,'Session Training Data'!A58)=0,1,0))</x:f>
        <x:v>0</x:v>
      </x:c>
      <x:c r="M62" s="112" t="n">
        <x:f>IF('Session Training Data'!AF58="",0,IF(COUNTIF('Participants'!$A$5:$A$204,'Session Training Data'!AF58)=0,1,0))</x:f>
        <x:v>0</x:v>
      </x:c>
      <x:c r="N62" s="112" t="n">
        <x:f>IF(OR('Session Training Data'!A58="",'Session Training Data'!AF58=""),0,IF(COUNTIFS('Sessions'!$A$5:$A$204,'Session Training Data'!A58,'Sessions'!$B$5:$B$204,'Session Training Data'!AF58)=0,1,0))</x:f>
        <x:v>0</x:v>
      </x:c>
      <x:c r="O62" s="112" t="n">
        <x:f>IF('Session Training Data'!AF58="",0,IF(COUNTIFS('Participants'!$A$5:$A$204,'Session Training Data'!AF58,'Participants'!$D$5:$D$204,"yes")=0,1,0))</x:f>
        <x:v>0</x:v>
      </x:c>
      <x:c r="P62" s="112" t="n">
        <x:f>IF('Session Training Data'!AF58="",0,IF(COUNTIF('Session Training Data'!$AF$5:AF58,'Session Training Data'!AF58)=1,1,0))</x:f>
        <x:v>0</x:v>
      </x:c>
      <x:c r="Q62" s="112" t="n">
        <x:f>IF('Participants'!A58="",0,IF(COUNTIF('Participants'!$A$5:$A$204,'Participants'!A58)&gt;1,1,0))</x:f>
        <x:v>0</x:v>
      </x:c>
      <x:c r="R62" s="112" t="n">
        <x:f>IF('Sessions'!A58="",0,IF(COUNTIF('Sessions'!$A$5:$A$204,'Sessions'!A58)&gt;1,1,0))</x:f>
        <x:v>0</x:v>
      </x:c>
      <x:c r="S62" s="112" t="n">
        <x:f>IF('Attempts'!A58="",0,IF(COUNTIF('Attempts'!$A$5:$A$204,'Attempts'!A58)&gt;1,1,0))</x:f>
        <x:v>0</x:v>
      </x:c>
      <x:c r="T62" s="112" t="n">
        <x:f>IF('Session Training Data'!A58="",0,IF(COUNTIF('Session Training Data'!$A$5:$A$204,'Session Training Data'!A58)&gt;1,1,0))</x:f>
        <x:v>0</x:v>
      </x:c>
    </x:row>
    <x:row r="63">
      <x:c r="G63" s="112" t="n">
        <x:f>IF('Sessions'!B59="",0,IF(COUNTIF('Participants'!$A$5:$A$204,'Sessions'!B59)=0,1,0))</x:f>
        <x:v>0</x:v>
      </x:c>
      <x:c r="H63" s="112" t="n">
        <x:f>IF('Attempts'!B59="",0,IF(COUNTIF('Sessions'!$A$5:$A$204,'Attempts'!B59)=0,1,0))</x:f>
        <x:v>0</x:v>
      </x:c>
      <x:c r="I63" s="112" t="n">
        <x:f>IF('Sessions'!A59="",0,IF(COUNTIF('Expert Labels'!$B$5:$B$204,'Sessions'!A59)=0,1,0))</x:f>
        <x:v>0</x:v>
      </x:c>
      <x:c r="J63" s="112" t="n">
        <x:f>IF('Expert Labels'!B59="",0,IF(COUNTIF('Expert Labels'!$B$5:$B$204,'Expert Labels'!B59)&gt;1,1,0))</x:f>
        <x:v>0</x:v>
      </x:c>
      <x:c r="K63" s="112" t="n">
        <x:f>IF('Expert Labels'!B59="",0,IF(COUNTIF('Sessions'!$A$5:$A$204,'Expert Labels'!B59)=0,1,0))</x:f>
        <x:v>0</x:v>
      </x:c>
      <x:c r="L63" s="112" t="n">
        <x:f>IF('Session Training Data'!A59="",0,IF(COUNTIF('Sessions'!$A$5:$A$204,'Session Training Data'!A59)=0,1,0))</x:f>
        <x:v>0</x:v>
      </x:c>
      <x:c r="M63" s="112" t="n">
        <x:f>IF('Session Training Data'!AF59="",0,IF(COUNTIF('Participants'!$A$5:$A$204,'Session Training Data'!AF59)=0,1,0))</x:f>
        <x:v>0</x:v>
      </x:c>
      <x:c r="N63" s="112" t="n">
        <x:f>IF(OR('Session Training Data'!A59="",'Session Training Data'!AF59=""),0,IF(COUNTIFS('Sessions'!$A$5:$A$204,'Session Training Data'!A59,'Sessions'!$B$5:$B$204,'Session Training Data'!AF59)=0,1,0))</x:f>
        <x:v>0</x:v>
      </x:c>
      <x:c r="O63" s="112" t="n">
        <x:f>IF('Session Training Data'!AF59="",0,IF(COUNTIFS('Participants'!$A$5:$A$204,'Session Training Data'!AF59,'Participants'!$D$5:$D$204,"yes")=0,1,0))</x:f>
        <x:v>0</x:v>
      </x:c>
      <x:c r="P63" s="112" t="n">
        <x:f>IF('Session Training Data'!AF59="",0,IF(COUNTIF('Session Training Data'!$AF$5:AF59,'Session Training Data'!AF59)=1,1,0))</x:f>
        <x:v>0</x:v>
      </x:c>
      <x:c r="Q63" s="112" t="n">
        <x:f>IF('Participants'!A59="",0,IF(COUNTIF('Participants'!$A$5:$A$204,'Participants'!A59)&gt;1,1,0))</x:f>
        <x:v>0</x:v>
      </x:c>
      <x:c r="R63" s="112" t="n">
        <x:f>IF('Sessions'!A59="",0,IF(COUNTIF('Sessions'!$A$5:$A$204,'Sessions'!A59)&gt;1,1,0))</x:f>
        <x:v>0</x:v>
      </x:c>
      <x:c r="S63" s="112" t="n">
        <x:f>IF('Attempts'!A59="",0,IF(COUNTIF('Attempts'!$A$5:$A$204,'Attempts'!A59)&gt;1,1,0))</x:f>
        <x:v>0</x:v>
      </x:c>
      <x:c r="T63" s="112" t="n">
        <x:f>IF('Session Training Data'!A59="",0,IF(COUNTIF('Session Training Data'!$A$5:$A$204,'Session Training Data'!A59)&gt;1,1,0))</x:f>
        <x:v>0</x:v>
      </x:c>
    </x:row>
    <x:row r="64">
      <x:c r="G64" s="112" t="n">
        <x:f>IF('Sessions'!B60="",0,IF(COUNTIF('Participants'!$A$5:$A$204,'Sessions'!B60)=0,1,0))</x:f>
        <x:v>0</x:v>
      </x:c>
      <x:c r="H64" s="112" t="n">
        <x:f>IF('Attempts'!B60="",0,IF(COUNTIF('Sessions'!$A$5:$A$204,'Attempts'!B60)=0,1,0))</x:f>
        <x:v>0</x:v>
      </x:c>
      <x:c r="I64" s="112" t="n">
        <x:f>IF('Sessions'!A60="",0,IF(COUNTIF('Expert Labels'!$B$5:$B$204,'Sessions'!A60)=0,1,0))</x:f>
        <x:v>0</x:v>
      </x:c>
      <x:c r="J64" s="112" t="n">
        <x:f>IF('Expert Labels'!B60="",0,IF(COUNTIF('Expert Labels'!$B$5:$B$204,'Expert Labels'!B60)&gt;1,1,0))</x:f>
        <x:v>0</x:v>
      </x:c>
      <x:c r="K64" s="112" t="n">
        <x:f>IF('Expert Labels'!B60="",0,IF(COUNTIF('Sessions'!$A$5:$A$204,'Expert Labels'!B60)=0,1,0))</x:f>
        <x:v>0</x:v>
      </x:c>
      <x:c r="L64" s="112" t="n">
        <x:f>IF('Session Training Data'!A60="",0,IF(COUNTIF('Sessions'!$A$5:$A$204,'Session Training Data'!A60)=0,1,0))</x:f>
        <x:v>0</x:v>
      </x:c>
      <x:c r="M64" s="112" t="n">
        <x:f>IF('Session Training Data'!AF60="",0,IF(COUNTIF('Participants'!$A$5:$A$204,'Session Training Data'!AF60)=0,1,0))</x:f>
        <x:v>0</x:v>
      </x:c>
      <x:c r="N64" s="112" t="n">
        <x:f>IF(OR('Session Training Data'!A60="",'Session Training Data'!AF60=""),0,IF(COUNTIFS('Sessions'!$A$5:$A$204,'Session Training Data'!A60,'Sessions'!$B$5:$B$204,'Session Training Data'!AF60)=0,1,0))</x:f>
        <x:v>0</x:v>
      </x:c>
      <x:c r="O64" s="112" t="n">
        <x:f>IF('Session Training Data'!AF60="",0,IF(COUNTIFS('Participants'!$A$5:$A$204,'Session Training Data'!AF60,'Participants'!$D$5:$D$204,"yes")=0,1,0))</x:f>
        <x:v>0</x:v>
      </x:c>
      <x:c r="P64" s="112" t="n">
        <x:f>IF('Session Training Data'!AF60="",0,IF(COUNTIF('Session Training Data'!$AF$5:AF60,'Session Training Data'!AF60)=1,1,0))</x:f>
        <x:v>0</x:v>
      </x:c>
      <x:c r="Q64" s="112" t="n">
        <x:f>IF('Participants'!A60="",0,IF(COUNTIF('Participants'!$A$5:$A$204,'Participants'!A60)&gt;1,1,0))</x:f>
        <x:v>0</x:v>
      </x:c>
      <x:c r="R64" s="112" t="n">
        <x:f>IF('Sessions'!A60="",0,IF(COUNTIF('Sessions'!$A$5:$A$204,'Sessions'!A60)&gt;1,1,0))</x:f>
        <x:v>0</x:v>
      </x:c>
      <x:c r="S64" s="112" t="n">
        <x:f>IF('Attempts'!A60="",0,IF(COUNTIF('Attempts'!$A$5:$A$204,'Attempts'!A60)&gt;1,1,0))</x:f>
        <x:v>0</x:v>
      </x:c>
      <x:c r="T64" s="112" t="n">
        <x:f>IF('Session Training Data'!A60="",0,IF(COUNTIF('Session Training Data'!$A$5:$A$204,'Session Training Data'!A60)&gt;1,1,0))</x:f>
        <x:v>0</x:v>
      </x:c>
    </x:row>
    <x:row r="65">
      <x:c r="G65" s="112" t="n">
        <x:f>IF('Sessions'!B61="",0,IF(COUNTIF('Participants'!$A$5:$A$204,'Sessions'!B61)=0,1,0))</x:f>
        <x:v>0</x:v>
      </x:c>
      <x:c r="H65" s="112" t="n">
        <x:f>IF('Attempts'!B61="",0,IF(COUNTIF('Sessions'!$A$5:$A$204,'Attempts'!B61)=0,1,0))</x:f>
        <x:v>0</x:v>
      </x:c>
      <x:c r="I65" s="112" t="n">
        <x:f>IF('Sessions'!A61="",0,IF(COUNTIF('Expert Labels'!$B$5:$B$204,'Sessions'!A61)=0,1,0))</x:f>
        <x:v>0</x:v>
      </x:c>
      <x:c r="J65" s="112" t="n">
        <x:f>IF('Expert Labels'!B61="",0,IF(COUNTIF('Expert Labels'!$B$5:$B$204,'Expert Labels'!B61)&gt;1,1,0))</x:f>
        <x:v>0</x:v>
      </x:c>
      <x:c r="K65" s="112" t="n">
        <x:f>IF('Expert Labels'!B61="",0,IF(COUNTIF('Sessions'!$A$5:$A$204,'Expert Labels'!B61)=0,1,0))</x:f>
        <x:v>0</x:v>
      </x:c>
      <x:c r="L65" s="112" t="n">
        <x:f>IF('Session Training Data'!A61="",0,IF(COUNTIF('Sessions'!$A$5:$A$204,'Session Training Data'!A61)=0,1,0))</x:f>
        <x:v>0</x:v>
      </x:c>
      <x:c r="M65" s="112" t="n">
        <x:f>IF('Session Training Data'!AF61="",0,IF(COUNTIF('Participants'!$A$5:$A$204,'Session Training Data'!AF61)=0,1,0))</x:f>
        <x:v>0</x:v>
      </x:c>
      <x:c r="N65" s="112" t="n">
        <x:f>IF(OR('Session Training Data'!A61="",'Session Training Data'!AF61=""),0,IF(COUNTIFS('Sessions'!$A$5:$A$204,'Session Training Data'!A61,'Sessions'!$B$5:$B$204,'Session Training Data'!AF61)=0,1,0))</x:f>
        <x:v>0</x:v>
      </x:c>
      <x:c r="O65" s="112" t="n">
        <x:f>IF('Session Training Data'!AF61="",0,IF(COUNTIFS('Participants'!$A$5:$A$204,'Session Training Data'!AF61,'Participants'!$D$5:$D$204,"yes")=0,1,0))</x:f>
        <x:v>0</x:v>
      </x:c>
      <x:c r="P65" s="112" t="n">
        <x:f>IF('Session Training Data'!AF61="",0,IF(COUNTIF('Session Training Data'!$AF$5:AF61,'Session Training Data'!AF61)=1,1,0))</x:f>
        <x:v>0</x:v>
      </x:c>
      <x:c r="Q65" s="112" t="n">
        <x:f>IF('Participants'!A61="",0,IF(COUNTIF('Participants'!$A$5:$A$204,'Participants'!A61)&gt;1,1,0))</x:f>
        <x:v>0</x:v>
      </x:c>
      <x:c r="R65" s="112" t="n">
        <x:f>IF('Sessions'!A61="",0,IF(COUNTIF('Sessions'!$A$5:$A$204,'Sessions'!A61)&gt;1,1,0))</x:f>
        <x:v>0</x:v>
      </x:c>
      <x:c r="S65" s="112" t="n">
        <x:f>IF('Attempts'!A61="",0,IF(COUNTIF('Attempts'!$A$5:$A$204,'Attempts'!A61)&gt;1,1,0))</x:f>
        <x:v>0</x:v>
      </x:c>
      <x:c r="T65" s="112" t="n">
        <x:f>IF('Session Training Data'!A61="",0,IF(COUNTIF('Session Training Data'!$A$5:$A$204,'Session Training Data'!A61)&gt;1,1,0))</x:f>
        <x:v>0</x:v>
      </x:c>
    </x:row>
    <x:row r="66">
      <x:c r="G66" s="112" t="n">
        <x:f>IF('Sessions'!B62="",0,IF(COUNTIF('Participants'!$A$5:$A$204,'Sessions'!B62)=0,1,0))</x:f>
        <x:v>0</x:v>
      </x:c>
      <x:c r="H66" s="112" t="n">
        <x:f>IF('Attempts'!B62="",0,IF(COUNTIF('Sessions'!$A$5:$A$204,'Attempts'!B62)=0,1,0))</x:f>
        <x:v>0</x:v>
      </x:c>
      <x:c r="I66" s="112" t="n">
        <x:f>IF('Sessions'!A62="",0,IF(COUNTIF('Expert Labels'!$B$5:$B$204,'Sessions'!A62)=0,1,0))</x:f>
        <x:v>0</x:v>
      </x:c>
      <x:c r="J66" s="112" t="n">
        <x:f>IF('Expert Labels'!B62="",0,IF(COUNTIF('Expert Labels'!$B$5:$B$204,'Expert Labels'!B62)&gt;1,1,0))</x:f>
        <x:v>0</x:v>
      </x:c>
      <x:c r="K66" s="112" t="n">
        <x:f>IF('Expert Labels'!B62="",0,IF(COUNTIF('Sessions'!$A$5:$A$204,'Expert Labels'!B62)=0,1,0))</x:f>
        <x:v>0</x:v>
      </x:c>
      <x:c r="L66" s="112" t="n">
        <x:f>IF('Session Training Data'!A62="",0,IF(COUNTIF('Sessions'!$A$5:$A$204,'Session Training Data'!A62)=0,1,0))</x:f>
        <x:v>0</x:v>
      </x:c>
      <x:c r="M66" s="112" t="n">
        <x:f>IF('Session Training Data'!AF62="",0,IF(COUNTIF('Participants'!$A$5:$A$204,'Session Training Data'!AF62)=0,1,0))</x:f>
        <x:v>0</x:v>
      </x:c>
      <x:c r="N66" s="112" t="n">
        <x:f>IF(OR('Session Training Data'!A62="",'Session Training Data'!AF62=""),0,IF(COUNTIFS('Sessions'!$A$5:$A$204,'Session Training Data'!A62,'Sessions'!$B$5:$B$204,'Session Training Data'!AF62)=0,1,0))</x:f>
        <x:v>0</x:v>
      </x:c>
      <x:c r="O66" s="112" t="n">
        <x:f>IF('Session Training Data'!AF62="",0,IF(COUNTIFS('Participants'!$A$5:$A$204,'Session Training Data'!AF62,'Participants'!$D$5:$D$204,"yes")=0,1,0))</x:f>
        <x:v>0</x:v>
      </x:c>
      <x:c r="P66" s="112" t="n">
        <x:f>IF('Session Training Data'!AF62="",0,IF(COUNTIF('Session Training Data'!$AF$5:AF62,'Session Training Data'!AF62)=1,1,0))</x:f>
        <x:v>0</x:v>
      </x:c>
      <x:c r="Q66" s="112" t="n">
        <x:f>IF('Participants'!A62="",0,IF(COUNTIF('Participants'!$A$5:$A$204,'Participants'!A62)&gt;1,1,0))</x:f>
        <x:v>0</x:v>
      </x:c>
      <x:c r="R66" s="112" t="n">
        <x:f>IF('Sessions'!A62="",0,IF(COUNTIF('Sessions'!$A$5:$A$204,'Sessions'!A62)&gt;1,1,0))</x:f>
        <x:v>0</x:v>
      </x:c>
      <x:c r="S66" s="112" t="n">
        <x:f>IF('Attempts'!A62="",0,IF(COUNTIF('Attempts'!$A$5:$A$204,'Attempts'!A62)&gt;1,1,0))</x:f>
        <x:v>0</x:v>
      </x:c>
      <x:c r="T66" s="112" t="n">
        <x:f>IF('Session Training Data'!A62="",0,IF(COUNTIF('Session Training Data'!$A$5:$A$204,'Session Training Data'!A62)&gt;1,1,0))</x:f>
        <x:v>0</x:v>
      </x:c>
    </x:row>
    <x:row r="67">
      <x:c r="G67" s="112" t="n">
        <x:f>IF('Sessions'!B63="",0,IF(COUNTIF('Participants'!$A$5:$A$204,'Sessions'!B63)=0,1,0))</x:f>
        <x:v>0</x:v>
      </x:c>
      <x:c r="H67" s="112" t="n">
        <x:f>IF('Attempts'!B63="",0,IF(COUNTIF('Sessions'!$A$5:$A$204,'Attempts'!B63)=0,1,0))</x:f>
        <x:v>0</x:v>
      </x:c>
      <x:c r="I67" s="112" t="n">
        <x:f>IF('Sessions'!A63="",0,IF(COUNTIF('Expert Labels'!$B$5:$B$204,'Sessions'!A63)=0,1,0))</x:f>
        <x:v>0</x:v>
      </x:c>
      <x:c r="J67" s="112" t="n">
        <x:f>IF('Expert Labels'!B63="",0,IF(COUNTIF('Expert Labels'!$B$5:$B$204,'Expert Labels'!B63)&gt;1,1,0))</x:f>
        <x:v>0</x:v>
      </x:c>
      <x:c r="K67" s="112" t="n">
        <x:f>IF('Expert Labels'!B63="",0,IF(COUNTIF('Sessions'!$A$5:$A$204,'Expert Labels'!B63)=0,1,0))</x:f>
        <x:v>0</x:v>
      </x:c>
      <x:c r="L67" s="112" t="n">
        <x:f>IF('Session Training Data'!A63="",0,IF(COUNTIF('Sessions'!$A$5:$A$204,'Session Training Data'!A63)=0,1,0))</x:f>
        <x:v>0</x:v>
      </x:c>
      <x:c r="M67" s="112" t="n">
        <x:f>IF('Session Training Data'!AF63="",0,IF(COUNTIF('Participants'!$A$5:$A$204,'Session Training Data'!AF63)=0,1,0))</x:f>
        <x:v>0</x:v>
      </x:c>
      <x:c r="N67" s="112" t="n">
        <x:f>IF(OR('Session Training Data'!A63="",'Session Training Data'!AF63=""),0,IF(COUNTIFS('Sessions'!$A$5:$A$204,'Session Training Data'!A63,'Sessions'!$B$5:$B$204,'Session Training Data'!AF63)=0,1,0))</x:f>
        <x:v>0</x:v>
      </x:c>
      <x:c r="O67" s="112" t="n">
        <x:f>IF('Session Training Data'!AF63="",0,IF(COUNTIFS('Participants'!$A$5:$A$204,'Session Training Data'!AF63,'Participants'!$D$5:$D$204,"yes")=0,1,0))</x:f>
        <x:v>0</x:v>
      </x:c>
      <x:c r="P67" s="112" t="n">
        <x:f>IF('Session Training Data'!AF63="",0,IF(COUNTIF('Session Training Data'!$AF$5:AF63,'Session Training Data'!AF63)=1,1,0))</x:f>
        <x:v>0</x:v>
      </x:c>
      <x:c r="Q67" s="112" t="n">
        <x:f>IF('Participants'!A63="",0,IF(COUNTIF('Participants'!$A$5:$A$204,'Participants'!A63)&gt;1,1,0))</x:f>
        <x:v>0</x:v>
      </x:c>
      <x:c r="R67" s="112" t="n">
        <x:f>IF('Sessions'!A63="",0,IF(COUNTIF('Sessions'!$A$5:$A$204,'Sessions'!A63)&gt;1,1,0))</x:f>
        <x:v>0</x:v>
      </x:c>
      <x:c r="S67" s="112" t="n">
        <x:f>IF('Attempts'!A63="",0,IF(COUNTIF('Attempts'!$A$5:$A$204,'Attempts'!A63)&gt;1,1,0))</x:f>
        <x:v>0</x:v>
      </x:c>
      <x:c r="T67" s="112" t="n">
        <x:f>IF('Session Training Data'!A63="",0,IF(COUNTIF('Session Training Data'!$A$5:$A$204,'Session Training Data'!A63)&gt;1,1,0))</x:f>
        <x:v>0</x:v>
      </x:c>
    </x:row>
    <x:row r="68">
      <x:c r="G68" s="112" t="n">
        <x:f>IF('Sessions'!B64="",0,IF(COUNTIF('Participants'!$A$5:$A$204,'Sessions'!B64)=0,1,0))</x:f>
        <x:v>0</x:v>
      </x:c>
      <x:c r="H68" s="112" t="n">
        <x:f>IF('Attempts'!B64="",0,IF(COUNTIF('Sessions'!$A$5:$A$204,'Attempts'!B64)=0,1,0))</x:f>
        <x:v>0</x:v>
      </x:c>
      <x:c r="I68" s="112" t="n">
        <x:f>IF('Sessions'!A64="",0,IF(COUNTIF('Expert Labels'!$B$5:$B$204,'Sessions'!A64)=0,1,0))</x:f>
        <x:v>0</x:v>
      </x:c>
      <x:c r="J68" s="112" t="n">
        <x:f>IF('Expert Labels'!B64="",0,IF(COUNTIF('Expert Labels'!$B$5:$B$204,'Expert Labels'!B64)&gt;1,1,0))</x:f>
        <x:v>0</x:v>
      </x:c>
      <x:c r="K68" s="112" t="n">
        <x:f>IF('Expert Labels'!B64="",0,IF(COUNTIF('Sessions'!$A$5:$A$204,'Expert Labels'!B64)=0,1,0))</x:f>
        <x:v>0</x:v>
      </x:c>
      <x:c r="L68" s="112" t="n">
        <x:f>IF('Session Training Data'!A64="",0,IF(COUNTIF('Sessions'!$A$5:$A$204,'Session Training Data'!A64)=0,1,0))</x:f>
        <x:v>0</x:v>
      </x:c>
      <x:c r="M68" s="112" t="n">
        <x:f>IF('Session Training Data'!AF64="",0,IF(COUNTIF('Participants'!$A$5:$A$204,'Session Training Data'!AF64)=0,1,0))</x:f>
        <x:v>0</x:v>
      </x:c>
      <x:c r="N68" s="112" t="n">
        <x:f>IF(OR('Session Training Data'!A64="",'Session Training Data'!AF64=""),0,IF(COUNTIFS('Sessions'!$A$5:$A$204,'Session Training Data'!A64,'Sessions'!$B$5:$B$204,'Session Training Data'!AF64)=0,1,0))</x:f>
        <x:v>0</x:v>
      </x:c>
      <x:c r="O68" s="112" t="n">
        <x:f>IF('Session Training Data'!AF64="",0,IF(COUNTIFS('Participants'!$A$5:$A$204,'Session Training Data'!AF64,'Participants'!$D$5:$D$204,"yes")=0,1,0))</x:f>
        <x:v>0</x:v>
      </x:c>
      <x:c r="P68" s="112" t="n">
        <x:f>IF('Session Training Data'!AF64="",0,IF(COUNTIF('Session Training Data'!$AF$5:AF64,'Session Training Data'!AF64)=1,1,0))</x:f>
        <x:v>0</x:v>
      </x:c>
      <x:c r="Q68" s="112" t="n">
        <x:f>IF('Participants'!A64="",0,IF(COUNTIF('Participants'!$A$5:$A$204,'Participants'!A64)&gt;1,1,0))</x:f>
        <x:v>0</x:v>
      </x:c>
      <x:c r="R68" s="112" t="n">
        <x:f>IF('Sessions'!A64="",0,IF(COUNTIF('Sessions'!$A$5:$A$204,'Sessions'!A64)&gt;1,1,0))</x:f>
        <x:v>0</x:v>
      </x:c>
      <x:c r="S68" s="112" t="n">
        <x:f>IF('Attempts'!A64="",0,IF(COUNTIF('Attempts'!$A$5:$A$204,'Attempts'!A64)&gt;1,1,0))</x:f>
        <x:v>0</x:v>
      </x:c>
      <x:c r="T68" s="112" t="n">
        <x:f>IF('Session Training Data'!A64="",0,IF(COUNTIF('Session Training Data'!$A$5:$A$204,'Session Training Data'!A64)&gt;1,1,0))</x:f>
        <x:v>0</x:v>
      </x:c>
    </x:row>
    <x:row r="69">
      <x:c r="G69" s="112" t="n">
        <x:f>IF('Sessions'!B65="",0,IF(COUNTIF('Participants'!$A$5:$A$204,'Sessions'!B65)=0,1,0))</x:f>
        <x:v>0</x:v>
      </x:c>
      <x:c r="H69" s="112" t="n">
        <x:f>IF('Attempts'!B65="",0,IF(COUNTIF('Sessions'!$A$5:$A$204,'Attempts'!B65)=0,1,0))</x:f>
        <x:v>0</x:v>
      </x:c>
      <x:c r="I69" s="112" t="n">
        <x:f>IF('Sessions'!A65="",0,IF(COUNTIF('Expert Labels'!$B$5:$B$204,'Sessions'!A65)=0,1,0))</x:f>
        <x:v>0</x:v>
      </x:c>
      <x:c r="J69" s="112" t="n">
        <x:f>IF('Expert Labels'!B65="",0,IF(COUNTIF('Expert Labels'!$B$5:$B$204,'Expert Labels'!B65)&gt;1,1,0))</x:f>
        <x:v>0</x:v>
      </x:c>
      <x:c r="K69" s="112" t="n">
        <x:f>IF('Expert Labels'!B65="",0,IF(COUNTIF('Sessions'!$A$5:$A$204,'Expert Labels'!B65)=0,1,0))</x:f>
        <x:v>0</x:v>
      </x:c>
      <x:c r="L69" s="112" t="n">
        <x:f>IF('Session Training Data'!A65="",0,IF(COUNTIF('Sessions'!$A$5:$A$204,'Session Training Data'!A65)=0,1,0))</x:f>
        <x:v>0</x:v>
      </x:c>
      <x:c r="M69" s="112" t="n">
        <x:f>IF('Session Training Data'!AF65="",0,IF(COUNTIF('Participants'!$A$5:$A$204,'Session Training Data'!AF65)=0,1,0))</x:f>
        <x:v>0</x:v>
      </x:c>
      <x:c r="N69" s="112" t="n">
        <x:f>IF(OR('Session Training Data'!A65="",'Session Training Data'!AF65=""),0,IF(COUNTIFS('Sessions'!$A$5:$A$204,'Session Training Data'!A65,'Sessions'!$B$5:$B$204,'Session Training Data'!AF65)=0,1,0))</x:f>
        <x:v>0</x:v>
      </x:c>
      <x:c r="O69" s="112" t="n">
        <x:f>IF('Session Training Data'!AF65="",0,IF(COUNTIFS('Participants'!$A$5:$A$204,'Session Training Data'!AF65,'Participants'!$D$5:$D$204,"yes")=0,1,0))</x:f>
        <x:v>0</x:v>
      </x:c>
      <x:c r="P69" s="112" t="n">
        <x:f>IF('Session Training Data'!AF65="",0,IF(COUNTIF('Session Training Data'!$AF$5:AF65,'Session Training Data'!AF65)=1,1,0))</x:f>
        <x:v>0</x:v>
      </x:c>
      <x:c r="Q69" s="112" t="n">
        <x:f>IF('Participants'!A65="",0,IF(COUNTIF('Participants'!$A$5:$A$204,'Participants'!A65)&gt;1,1,0))</x:f>
        <x:v>0</x:v>
      </x:c>
      <x:c r="R69" s="112" t="n">
        <x:f>IF('Sessions'!A65="",0,IF(COUNTIF('Sessions'!$A$5:$A$204,'Sessions'!A65)&gt;1,1,0))</x:f>
        <x:v>0</x:v>
      </x:c>
      <x:c r="S69" s="112" t="n">
        <x:f>IF('Attempts'!A65="",0,IF(COUNTIF('Attempts'!$A$5:$A$204,'Attempts'!A65)&gt;1,1,0))</x:f>
        <x:v>0</x:v>
      </x:c>
      <x:c r="T69" s="112" t="n">
        <x:f>IF('Session Training Data'!A65="",0,IF(COUNTIF('Session Training Data'!$A$5:$A$204,'Session Training Data'!A65)&gt;1,1,0))</x:f>
        <x:v>0</x:v>
      </x:c>
    </x:row>
    <x:row r="70">
      <x:c r="G70" s="112" t="n">
        <x:f>IF('Sessions'!B66="",0,IF(COUNTIF('Participants'!$A$5:$A$204,'Sessions'!B66)=0,1,0))</x:f>
        <x:v>0</x:v>
      </x:c>
      <x:c r="H70" s="112" t="n">
        <x:f>IF('Attempts'!B66="",0,IF(COUNTIF('Sessions'!$A$5:$A$204,'Attempts'!B66)=0,1,0))</x:f>
        <x:v>0</x:v>
      </x:c>
      <x:c r="I70" s="112" t="n">
        <x:f>IF('Sessions'!A66="",0,IF(COUNTIF('Expert Labels'!$B$5:$B$204,'Sessions'!A66)=0,1,0))</x:f>
        <x:v>0</x:v>
      </x:c>
      <x:c r="J70" s="112" t="n">
        <x:f>IF('Expert Labels'!B66="",0,IF(COUNTIF('Expert Labels'!$B$5:$B$204,'Expert Labels'!B66)&gt;1,1,0))</x:f>
        <x:v>0</x:v>
      </x:c>
      <x:c r="K70" s="112" t="n">
        <x:f>IF('Expert Labels'!B66="",0,IF(COUNTIF('Sessions'!$A$5:$A$204,'Expert Labels'!B66)=0,1,0))</x:f>
        <x:v>0</x:v>
      </x:c>
      <x:c r="L70" s="112" t="n">
        <x:f>IF('Session Training Data'!A66="",0,IF(COUNTIF('Sessions'!$A$5:$A$204,'Session Training Data'!A66)=0,1,0))</x:f>
        <x:v>0</x:v>
      </x:c>
      <x:c r="M70" s="112" t="n">
        <x:f>IF('Session Training Data'!AF66="",0,IF(COUNTIF('Participants'!$A$5:$A$204,'Session Training Data'!AF66)=0,1,0))</x:f>
        <x:v>0</x:v>
      </x:c>
      <x:c r="N70" s="112" t="n">
        <x:f>IF(OR('Session Training Data'!A66="",'Session Training Data'!AF66=""),0,IF(COUNTIFS('Sessions'!$A$5:$A$204,'Session Training Data'!A66,'Sessions'!$B$5:$B$204,'Session Training Data'!AF66)=0,1,0))</x:f>
        <x:v>0</x:v>
      </x:c>
      <x:c r="O70" s="112" t="n">
        <x:f>IF('Session Training Data'!AF66="",0,IF(COUNTIFS('Participants'!$A$5:$A$204,'Session Training Data'!AF66,'Participants'!$D$5:$D$204,"yes")=0,1,0))</x:f>
        <x:v>0</x:v>
      </x:c>
      <x:c r="P70" s="112" t="n">
        <x:f>IF('Session Training Data'!AF66="",0,IF(COUNTIF('Session Training Data'!$AF$5:AF66,'Session Training Data'!AF66)=1,1,0))</x:f>
        <x:v>0</x:v>
      </x:c>
      <x:c r="Q70" s="112" t="n">
        <x:f>IF('Participants'!A66="",0,IF(COUNTIF('Participants'!$A$5:$A$204,'Participants'!A66)&gt;1,1,0))</x:f>
        <x:v>0</x:v>
      </x:c>
      <x:c r="R70" s="112" t="n">
        <x:f>IF('Sessions'!A66="",0,IF(COUNTIF('Sessions'!$A$5:$A$204,'Sessions'!A66)&gt;1,1,0))</x:f>
        <x:v>0</x:v>
      </x:c>
      <x:c r="S70" s="112" t="n">
        <x:f>IF('Attempts'!A66="",0,IF(COUNTIF('Attempts'!$A$5:$A$204,'Attempts'!A66)&gt;1,1,0))</x:f>
        <x:v>0</x:v>
      </x:c>
      <x:c r="T70" s="112" t="n">
        <x:f>IF('Session Training Data'!A66="",0,IF(COUNTIF('Session Training Data'!$A$5:$A$204,'Session Training Data'!A66)&gt;1,1,0))</x:f>
        <x:v>0</x:v>
      </x:c>
    </x:row>
    <x:row r="71">
      <x:c r="G71" s="112" t="n">
        <x:f>IF('Sessions'!B67="",0,IF(COUNTIF('Participants'!$A$5:$A$204,'Sessions'!B67)=0,1,0))</x:f>
        <x:v>0</x:v>
      </x:c>
      <x:c r="H71" s="112" t="n">
        <x:f>IF('Attempts'!B67="",0,IF(COUNTIF('Sessions'!$A$5:$A$204,'Attempts'!B67)=0,1,0))</x:f>
        <x:v>0</x:v>
      </x:c>
      <x:c r="I71" s="112" t="n">
        <x:f>IF('Sessions'!A67="",0,IF(COUNTIF('Expert Labels'!$B$5:$B$204,'Sessions'!A67)=0,1,0))</x:f>
        <x:v>0</x:v>
      </x:c>
      <x:c r="J71" s="112" t="n">
        <x:f>IF('Expert Labels'!B67="",0,IF(COUNTIF('Expert Labels'!$B$5:$B$204,'Expert Labels'!B67)&gt;1,1,0))</x:f>
        <x:v>0</x:v>
      </x:c>
      <x:c r="K71" s="112" t="n">
        <x:f>IF('Expert Labels'!B67="",0,IF(COUNTIF('Sessions'!$A$5:$A$204,'Expert Labels'!B67)=0,1,0))</x:f>
        <x:v>0</x:v>
      </x:c>
      <x:c r="L71" s="112" t="n">
        <x:f>IF('Session Training Data'!A67="",0,IF(COUNTIF('Sessions'!$A$5:$A$204,'Session Training Data'!A67)=0,1,0))</x:f>
        <x:v>0</x:v>
      </x:c>
      <x:c r="M71" s="112" t="n">
        <x:f>IF('Session Training Data'!AF67="",0,IF(COUNTIF('Participants'!$A$5:$A$204,'Session Training Data'!AF67)=0,1,0))</x:f>
        <x:v>0</x:v>
      </x:c>
      <x:c r="N71" s="112" t="n">
        <x:f>IF(OR('Session Training Data'!A67="",'Session Training Data'!AF67=""),0,IF(COUNTIFS('Sessions'!$A$5:$A$204,'Session Training Data'!A67,'Sessions'!$B$5:$B$204,'Session Training Data'!AF67)=0,1,0))</x:f>
        <x:v>0</x:v>
      </x:c>
      <x:c r="O71" s="112" t="n">
        <x:f>IF('Session Training Data'!AF67="",0,IF(COUNTIFS('Participants'!$A$5:$A$204,'Session Training Data'!AF67,'Participants'!$D$5:$D$204,"yes")=0,1,0))</x:f>
        <x:v>0</x:v>
      </x:c>
      <x:c r="P71" s="112" t="n">
        <x:f>IF('Session Training Data'!AF67="",0,IF(COUNTIF('Session Training Data'!$AF$5:AF67,'Session Training Data'!AF67)=1,1,0))</x:f>
        <x:v>0</x:v>
      </x:c>
      <x:c r="Q71" s="112" t="n">
        <x:f>IF('Participants'!A67="",0,IF(COUNTIF('Participants'!$A$5:$A$204,'Participants'!A67)&gt;1,1,0))</x:f>
        <x:v>0</x:v>
      </x:c>
      <x:c r="R71" s="112" t="n">
        <x:f>IF('Sessions'!A67="",0,IF(COUNTIF('Sessions'!$A$5:$A$204,'Sessions'!A67)&gt;1,1,0))</x:f>
        <x:v>0</x:v>
      </x:c>
      <x:c r="S71" s="112" t="n">
        <x:f>IF('Attempts'!A67="",0,IF(COUNTIF('Attempts'!$A$5:$A$204,'Attempts'!A67)&gt;1,1,0))</x:f>
        <x:v>0</x:v>
      </x:c>
      <x:c r="T71" s="112" t="n">
        <x:f>IF('Session Training Data'!A67="",0,IF(COUNTIF('Session Training Data'!$A$5:$A$204,'Session Training Data'!A67)&gt;1,1,0))</x:f>
        <x:v>0</x:v>
      </x:c>
    </x:row>
    <x:row r="72">
      <x:c r="G72" s="112" t="n">
        <x:f>IF('Sessions'!B68="",0,IF(COUNTIF('Participants'!$A$5:$A$204,'Sessions'!B68)=0,1,0))</x:f>
        <x:v>0</x:v>
      </x:c>
      <x:c r="H72" s="112" t="n">
        <x:f>IF('Attempts'!B68="",0,IF(COUNTIF('Sessions'!$A$5:$A$204,'Attempts'!B68)=0,1,0))</x:f>
        <x:v>0</x:v>
      </x:c>
      <x:c r="I72" s="112" t="n">
        <x:f>IF('Sessions'!A68="",0,IF(COUNTIF('Expert Labels'!$B$5:$B$204,'Sessions'!A68)=0,1,0))</x:f>
        <x:v>0</x:v>
      </x:c>
      <x:c r="J72" s="112" t="n">
        <x:f>IF('Expert Labels'!B68="",0,IF(COUNTIF('Expert Labels'!$B$5:$B$204,'Expert Labels'!B68)&gt;1,1,0))</x:f>
        <x:v>0</x:v>
      </x:c>
      <x:c r="K72" s="112" t="n">
        <x:f>IF('Expert Labels'!B68="",0,IF(COUNTIF('Sessions'!$A$5:$A$204,'Expert Labels'!B68)=0,1,0))</x:f>
        <x:v>0</x:v>
      </x:c>
      <x:c r="L72" s="112" t="n">
        <x:f>IF('Session Training Data'!A68="",0,IF(COUNTIF('Sessions'!$A$5:$A$204,'Session Training Data'!A68)=0,1,0))</x:f>
        <x:v>0</x:v>
      </x:c>
      <x:c r="M72" s="112" t="n">
        <x:f>IF('Session Training Data'!AF68="",0,IF(COUNTIF('Participants'!$A$5:$A$204,'Session Training Data'!AF68)=0,1,0))</x:f>
        <x:v>0</x:v>
      </x:c>
      <x:c r="N72" s="112" t="n">
        <x:f>IF(OR('Session Training Data'!A68="",'Session Training Data'!AF68=""),0,IF(COUNTIFS('Sessions'!$A$5:$A$204,'Session Training Data'!A68,'Sessions'!$B$5:$B$204,'Session Training Data'!AF68)=0,1,0))</x:f>
        <x:v>0</x:v>
      </x:c>
      <x:c r="O72" s="112" t="n">
        <x:f>IF('Session Training Data'!AF68="",0,IF(COUNTIFS('Participants'!$A$5:$A$204,'Session Training Data'!AF68,'Participants'!$D$5:$D$204,"yes")=0,1,0))</x:f>
        <x:v>0</x:v>
      </x:c>
      <x:c r="P72" s="112" t="n">
        <x:f>IF('Session Training Data'!AF68="",0,IF(COUNTIF('Session Training Data'!$AF$5:AF68,'Session Training Data'!AF68)=1,1,0))</x:f>
        <x:v>0</x:v>
      </x:c>
      <x:c r="Q72" s="112" t="n">
        <x:f>IF('Participants'!A68="",0,IF(COUNTIF('Participants'!$A$5:$A$204,'Participants'!A68)&gt;1,1,0))</x:f>
        <x:v>0</x:v>
      </x:c>
      <x:c r="R72" s="112" t="n">
        <x:f>IF('Sessions'!A68="",0,IF(COUNTIF('Sessions'!$A$5:$A$204,'Sessions'!A68)&gt;1,1,0))</x:f>
        <x:v>0</x:v>
      </x:c>
      <x:c r="S72" s="112" t="n">
        <x:f>IF('Attempts'!A68="",0,IF(COUNTIF('Attempts'!$A$5:$A$204,'Attempts'!A68)&gt;1,1,0))</x:f>
        <x:v>0</x:v>
      </x:c>
      <x:c r="T72" s="112" t="n">
        <x:f>IF('Session Training Data'!A68="",0,IF(COUNTIF('Session Training Data'!$A$5:$A$204,'Session Training Data'!A68)&gt;1,1,0))</x:f>
        <x:v>0</x:v>
      </x:c>
    </x:row>
    <x:row r="73">
      <x:c r="G73" s="112" t="n">
        <x:f>IF('Sessions'!B69="",0,IF(COUNTIF('Participants'!$A$5:$A$204,'Sessions'!B69)=0,1,0))</x:f>
        <x:v>0</x:v>
      </x:c>
      <x:c r="H73" s="112" t="n">
        <x:f>IF('Attempts'!B69="",0,IF(COUNTIF('Sessions'!$A$5:$A$204,'Attempts'!B69)=0,1,0))</x:f>
        <x:v>0</x:v>
      </x:c>
      <x:c r="I73" s="112" t="n">
        <x:f>IF('Sessions'!A69="",0,IF(COUNTIF('Expert Labels'!$B$5:$B$204,'Sessions'!A69)=0,1,0))</x:f>
        <x:v>0</x:v>
      </x:c>
      <x:c r="J73" s="112" t="n">
        <x:f>IF('Expert Labels'!B69="",0,IF(COUNTIF('Expert Labels'!$B$5:$B$204,'Expert Labels'!B69)&gt;1,1,0))</x:f>
        <x:v>0</x:v>
      </x:c>
      <x:c r="K73" s="112" t="n">
        <x:f>IF('Expert Labels'!B69="",0,IF(COUNTIF('Sessions'!$A$5:$A$204,'Expert Labels'!B69)=0,1,0))</x:f>
        <x:v>0</x:v>
      </x:c>
      <x:c r="L73" s="112" t="n">
        <x:f>IF('Session Training Data'!A69="",0,IF(COUNTIF('Sessions'!$A$5:$A$204,'Session Training Data'!A69)=0,1,0))</x:f>
        <x:v>0</x:v>
      </x:c>
      <x:c r="M73" s="112" t="n">
        <x:f>IF('Session Training Data'!AF69="",0,IF(COUNTIF('Participants'!$A$5:$A$204,'Session Training Data'!AF69)=0,1,0))</x:f>
        <x:v>0</x:v>
      </x:c>
      <x:c r="N73" s="112" t="n">
        <x:f>IF(OR('Session Training Data'!A69="",'Session Training Data'!AF69=""),0,IF(COUNTIFS('Sessions'!$A$5:$A$204,'Session Training Data'!A69,'Sessions'!$B$5:$B$204,'Session Training Data'!AF69)=0,1,0))</x:f>
        <x:v>0</x:v>
      </x:c>
      <x:c r="O73" s="112" t="n">
        <x:f>IF('Session Training Data'!AF69="",0,IF(COUNTIFS('Participants'!$A$5:$A$204,'Session Training Data'!AF69,'Participants'!$D$5:$D$204,"yes")=0,1,0))</x:f>
        <x:v>0</x:v>
      </x:c>
      <x:c r="P73" s="112" t="n">
        <x:f>IF('Session Training Data'!AF69="",0,IF(COUNTIF('Session Training Data'!$AF$5:AF69,'Session Training Data'!AF69)=1,1,0))</x:f>
        <x:v>0</x:v>
      </x:c>
      <x:c r="Q73" s="112" t="n">
        <x:f>IF('Participants'!A69="",0,IF(COUNTIF('Participants'!$A$5:$A$204,'Participants'!A69)&gt;1,1,0))</x:f>
        <x:v>0</x:v>
      </x:c>
      <x:c r="R73" s="112" t="n">
        <x:f>IF('Sessions'!A69="",0,IF(COUNTIF('Sessions'!$A$5:$A$204,'Sessions'!A69)&gt;1,1,0))</x:f>
        <x:v>0</x:v>
      </x:c>
      <x:c r="S73" s="112" t="n">
        <x:f>IF('Attempts'!A69="",0,IF(COUNTIF('Attempts'!$A$5:$A$204,'Attempts'!A69)&gt;1,1,0))</x:f>
        <x:v>0</x:v>
      </x:c>
      <x:c r="T73" s="112" t="n">
        <x:f>IF('Session Training Data'!A69="",0,IF(COUNTIF('Session Training Data'!$A$5:$A$204,'Session Training Data'!A69)&gt;1,1,0))</x:f>
        <x:v>0</x:v>
      </x:c>
    </x:row>
    <x:row r="74">
      <x:c r="G74" s="112" t="n">
        <x:f>IF('Sessions'!B70="",0,IF(COUNTIF('Participants'!$A$5:$A$204,'Sessions'!B70)=0,1,0))</x:f>
        <x:v>0</x:v>
      </x:c>
      <x:c r="H74" s="112" t="n">
        <x:f>IF('Attempts'!B70="",0,IF(COUNTIF('Sessions'!$A$5:$A$204,'Attempts'!B70)=0,1,0))</x:f>
        <x:v>0</x:v>
      </x:c>
      <x:c r="I74" s="112" t="n">
        <x:f>IF('Sessions'!A70="",0,IF(COUNTIF('Expert Labels'!$B$5:$B$204,'Sessions'!A70)=0,1,0))</x:f>
        <x:v>0</x:v>
      </x:c>
      <x:c r="J74" s="112" t="n">
        <x:f>IF('Expert Labels'!B70="",0,IF(COUNTIF('Expert Labels'!$B$5:$B$204,'Expert Labels'!B70)&gt;1,1,0))</x:f>
        <x:v>0</x:v>
      </x:c>
      <x:c r="K74" s="112" t="n">
        <x:f>IF('Expert Labels'!B70="",0,IF(COUNTIF('Sessions'!$A$5:$A$204,'Expert Labels'!B70)=0,1,0))</x:f>
        <x:v>0</x:v>
      </x:c>
      <x:c r="L74" s="112" t="n">
        <x:f>IF('Session Training Data'!A70="",0,IF(COUNTIF('Sessions'!$A$5:$A$204,'Session Training Data'!A70)=0,1,0))</x:f>
        <x:v>0</x:v>
      </x:c>
      <x:c r="M74" s="112" t="n">
        <x:f>IF('Session Training Data'!AF70="",0,IF(COUNTIF('Participants'!$A$5:$A$204,'Session Training Data'!AF70)=0,1,0))</x:f>
        <x:v>0</x:v>
      </x:c>
      <x:c r="N74" s="112" t="n">
        <x:f>IF(OR('Session Training Data'!A70="",'Session Training Data'!AF70=""),0,IF(COUNTIFS('Sessions'!$A$5:$A$204,'Session Training Data'!A70,'Sessions'!$B$5:$B$204,'Session Training Data'!AF70)=0,1,0))</x:f>
        <x:v>0</x:v>
      </x:c>
      <x:c r="O74" s="112" t="n">
        <x:f>IF('Session Training Data'!AF70="",0,IF(COUNTIFS('Participants'!$A$5:$A$204,'Session Training Data'!AF70,'Participants'!$D$5:$D$204,"yes")=0,1,0))</x:f>
        <x:v>0</x:v>
      </x:c>
      <x:c r="P74" s="112" t="n">
        <x:f>IF('Session Training Data'!AF70="",0,IF(COUNTIF('Session Training Data'!$AF$5:AF70,'Session Training Data'!AF70)=1,1,0))</x:f>
        <x:v>0</x:v>
      </x:c>
      <x:c r="Q74" s="112" t="n">
        <x:f>IF('Participants'!A70="",0,IF(COUNTIF('Participants'!$A$5:$A$204,'Participants'!A70)&gt;1,1,0))</x:f>
        <x:v>0</x:v>
      </x:c>
      <x:c r="R74" s="112" t="n">
        <x:f>IF('Sessions'!A70="",0,IF(COUNTIF('Sessions'!$A$5:$A$204,'Sessions'!A70)&gt;1,1,0))</x:f>
        <x:v>0</x:v>
      </x:c>
      <x:c r="S74" s="112" t="n">
        <x:f>IF('Attempts'!A70="",0,IF(COUNTIF('Attempts'!$A$5:$A$204,'Attempts'!A70)&gt;1,1,0))</x:f>
        <x:v>0</x:v>
      </x:c>
      <x:c r="T74" s="112" t="n">
        <x:f>IF('Session Training Data'!A70="",0,IF(COUNTIF('Session Training Data'!$A$5:$A$204,'Session Training Data'!A70)&gt;1,1,0))</x:f>
        <x:v>0</x:v>
      </x:c>
    </x:row>
    <x:row r="75">
      <x:c r="G75" s="112" t="n">
        <x:f>IF('Sessions'!B71="",0,IF(COUNTIF('Participants'!$A$5:$A$204,'Sessions'!B71)=0,1,0))</x:f>
        <x:v>0</x:v>
      </x:c>
      <x:c r="H75" s="112" t="n">
        <x:f>IF('Attempts'!B71="",0,IF(COUNTIF('Sessions'!$A$5:$A$204,'Attempts'!B71)=0,1,0))</x:f>
        <x:v>0</x:v>
      </x:c>
      <x:c r="I75" s="112" t="n">
        <x:f>IF('Sessions'!A71="",0,IF(COUNTIF('Expert Labels'!$B$5:$B$204,'Sessions'!A71)=0,1,0))</x:f>
        <x:v>0</x:v>
      </x:c>
      <x:c r="J75" s="112" t="n">
        <x:f>IF('Expert Labels'!B71="",0,IF(COUNTIF('Expert Labels'!$B$5:$B$204,'Expert Labels'!B71)&gt;1,1,0))</x:f>
        <x:v>0</x:v>
      </x:c>
      <x:c r="K75" s="112" t="n">
        <x:f>IF('Expert Labels'!B71="",0,IF(COUNTIF('Sessions'!$A$5:$A$204,'Expert Labels'!B71)=0,1,0))</x:f>
        <x:v>0</x:v>
      </x:c>
      <x:c r="L75" s="112" t="n">
        <x:f>IF('Session Training Data'!A71="",0,IF(COUNTIF('Sessions'!$A$5:$A$204,'Session Training Data'!A71)=0,1,0))</x:f>
        <x:v>0</x:v>
      </x:c>
      <x:c r="M75" s="112" t="n">
        <x:f>IF('Session Training Data'!AF71="",0,IF(COUNTIF('Participants'!$A$5:$A$204,'Session Training Data'!AF71)=0,1,0))</x:f>
        <x:v>0</x:v>
      </x:c>
      <x:c r="N75" s="112" t="n">
        <x:f>IF(OR('Session Training Data'!A71="",'Session Training Data'!AF71=""),0,IF(COUNTIFS('Sessions'!$A$5:$A$204,'Session Training Data'!A71,'Sessions'!$B$5:$B$204,'Session Training Data'!AF71)=0,1,0))</x:f>
        <x:v>0</x:v>
      </x:c>
      <x:c r="O75" s="112" t="n">
        <x:f>IF('Session Training Data'!AF71="",0,IF(COUNTIFS('Participants'!$A$5:$A$204,'Session Training Data'!AF71,'Participants'!$D$5:$D$204,"yes")=0,1,0))</x:f>
        <x:v>0</x:v>
      </x:c>
      <x:c r="P75" s="112" t="n">
        <x:f>IF('Session Training Data'!AF71="",0,IF(COUNTIF('Session Training Data'!$AF$5:AF71,'Session Training Data'!AF71)=1,1,0))</x:f>
        <x:v>0</x:v>
      </x:c>
      <x:c r="Q75" s="112" t="n">
        <x:f>IF('Participants'!A71="",0,IF(COUNTIF('Participants'!$A$5:$A$204,'Participants'!A71)&gt;1,1,0))</x:f>
        <x:v>0</x:v>
      </x:c>
      <x:c r="R75" s="112" t="n">
        <x:f>IF('Sessions'!A71="",0,IF(COUNTIF('Sessions'!$A$5:$A$204,'Sessions'!A71)&gt;1,1,0))</x:f>
        <x:v>0</x:v>
      </x:c>
      <x:c r="S75" s="112" t="n">
        <x:f>IF('Attempts'!A71="",0,IF(COUNTIF('Attempts'!$A$5:$A$204,'Attempts'!A71)&gt;1,1,0))</x:f>
        <x:v>0</x:v>
      </x:c>
      <x:c r="T75" s="112" t="n">
        <x:f>IF('Session Training Data'!A71="",0,IF(COUNTIF('Session Training Data'!$A$5:$A$204,'Session Training Data'!A71)&gt;1,1,0))</x:f>
        <x:v>0</x:v>
      </x:c>
    </x:row>
    <x:row r="76">
      <x:c r="G76" s="112" t="n">
        <x:f>IF('Sessions'!B72="",0,IF(COUNTIF('Participants'!$A$5:$A$204,'Sessions'!B72)=0,1,0))</x:f>
        <x:v>0</x:v>
      </x:c>
      <x:c r="H76" s="112" t="n">
        <x:f>IF('Attempts'!B72="",0,IF(COUNTIF('Sessions'!$A$5:$A$204,'Attempts'!B72)=0,1,0))</x:f>
        <x:v>0</x:v>
      </x:c>
      <x:c r="I76" s="112" t="n">
        <x:f>IF('Sessions'!A72="",0,IF(COUNTIF('Expert Labels'!$B$5:$B$204,'Sessions'!A72)=0,1,0))</x:f>
        <x:v>0</x:v>
      </x:c>
      <x:c r="J76" s="112" t="n">
        <x:f>IF('Expert Labels'!B72="",0,IF(COUNTIF('Expert Labels'!$B$5:$B$204,'Expert Labels'!B72)&gt;1,1,0))</x:f>
        <x:v>0</x:v>
      </x:c>
      <x:c r="K76" s="112" t="n">
        <x:f>IF('Expert Labels'!B72="",0,IF(COUNTIF('Sessions'!$A$5:$A$204,'Expert Labels'!B72)=0,1,0))</x:f>
        <x:v>0</x:v>
      </x:c>
      <x:c r="L76" s="112" t="n">
        <x:f>IF('Session Training Data'!A72="",0,IF(COUNTIF('Sessions'!$A$5:$A$204,'Session Training Data'!A72)=0,1,0))</x:f>
        <x:v>0</x:v>
      </x:c>
      <x:c r="M76" s="112" t="n">
        <x:f>IF('Session Training Data'!AF72="",0,IF(COUNTIF('Participants'!$A$5:$A$204,'Session Training Data'!AF72)=0,1,0))</x:f>
        <x:v>0</x:v>
      </x:c>
      <x:c r="N76" s="112" t="n">
        <x:f>IF(OR('Session Training Data'!A72="",'Session Training Data'!AF72=""),0,IF(COUNTIFS('Sessions'!$A$5:$A$204,'Session Training Data'!A72,'Sessions'!$B$5:$B$204,'Session Training Data'!AF72)=0,1,0))</x:f>
        <x:v>0</x:v>
      </x:c>
      <x:c r="O76" s="112" t="n">
        <x:f>IF('Session Training Data'!AF72="",0,IF(COUNTIFS('Participants'!$A$5:$A$204,'Session Training Data'!AF72,'Participants'!$D$5:$D$204,"yes")=0,1,0))</x:f>
        <x:v>0</x:v>
      </x:c>
      <x:c r="P76" s="112" t="n">
        <x:f>IF('Session Training Data'!AF72="",0,IF(COUNTIF('Session Training Data'!$AF$5:AF72,'Session Training Data'!AF72)=1,1,0))</x:f>
        <x:v>0</x:v>
      </x:c>
      <x:c r="Q76" s="112" t="n">
        <x:f>IF('Participants'!A72="",0,IF(COUNTIF('Participants'!$A$5:$A$204,'Participants'!A72)&gt;1,1,0))</x:f>
        <x:v>0</x:v>
      </x:c>
      <x:c r="R76" s="112" t="n">
        <x:f>IF('Sessions'!A72="",0,IF(COUNTIF('Sessions'!$A$5:$A$204,'Sessions'!A72)&gt;1,1,0))</x:f>
        <x:v>0</x:v>
      </x:c>
      <x:c r="S76" s="112" t="n">
        <x:f>IF('Attempts'!A72="",0,IF(COUNTIF('Attempts'!$A$5:$A$204,'Attempts'!A72)&gt;1,1,0))</x:f>
        <x:v>0</x:v>
      </x:c>
      <x:c r="T76" s="112" t="n">
        <x:f>IF('Session Training Data'!A72="",0,IF(COUNTIF('Session Training Data'!$A$5:$A$204,'Session Training Data'!A72)&gt;1,1,0))</x:f>
        <x:v>0</x:v>
      </x:c>
    </x:row>
    <x:row r="77">
      <x:c r="G77" s="112" t="n">
        <x:f>IF('Sessions'!B73="",0,IF(COUNTIF('Participants'!$A$5:$A$204,'Sessions'!B73)=0,1,0))</x:f>
        <x:v>0</x:v>
      </x:c>
      <x:c r="H77" s="112" t="n">
        <x:f>IF('Attempts'!B73="",0,IF(COUNTIF('Sessions'!$A$5:$A$204,'Attempts'!B73)=0,1,0))</x:f>
        <x:v>0</x:v>
      </x:c>
      <x:c r="I77" s="112" t="n">
        <x:f>IF('Sessions'!A73="",0,IF(COUNTIF('Expert Labels'!$B$5:$B$204,'Sessions'!A73)=0,1,0))</x:f>
        <x:v>0</x:v>
      </x:c>
      <x:c r="J77" s="112" t="n">
        <x:f>IF('Expert Labels'!B73="",0,IF(COUNTIF('Expert Labels'!$B$5:$B$204,'Expert Labels'!B73)&gt;1,1,0))</x:f>
        <x:v>0</x:v>
      </x:c>
      <x:c r="K77" s="112" t="n">
        <x:f>IF('Expert Labels'!B73="",0,IF(COUNTIF('Sessions'!$A$5:$A$204,'Expert Labels'!B73)=0,1,0))</x:f>
        <x:v>0</x:v>
      </x:c>
      <x:c r="L77" s="112" t="n">
        <x:f>IF('Session Training Data'!A73="",0,IF(COUNTIF('Sessions'!$A$5:$A$204,'Session Training Data'!A73)=0,1,0))</x:f>
        <x:v>0</x:v>
      </x:c>
      <x:c r="M77" s="112" t="n">
        <x:f>IF('Session Training Data'!AF73="",0,IF(COUNTIF('Participants'!$A$5:$A$204,'Session Training Data'!AF73)=0,1,0))</x:f>
        <x:v>0</x:v>
      </x:c>
      <x:c r="N77" s="112" t="n">
        <x:f>IF(OR('Session Training Data'!A73="",'Session Training Data'!AF73=""),0,IF(COUNTIFS('Sessions'!$A$5:$A$204,'Session Training Data'!A73,'Sessions'!$B$5:$B$204,'Session Training Data'!AF73)=0,1,0))</x:f>
        <x:v>0</x:v>
      </x:c>
      <x:c r="O77" s="112" t="n">
        <x:f>IF('Session Training Data'!AF73="",0,IF(COUNTIFS('Participants'!$A$5:$A$204,'Session Training Data'!AF73,'Participants'!$D$5:$D$204,"yes")=0,1,0))</x:f>
        <x:v>0</x:v>
      </x:c>
      <x:c r="P77" s="112" t="n">
        <x:f>IF('Session Training Data'!AF73="",0,IF(COUNTIF('Session Training Data'!$AF$5:AF73,'Session Training Data'!AF73)=1,1,0))</x:f>
        <x:v>0</x:v>
      </x:c>
      <x:c r="Q77" s="112" t="n">
        <x:f>IF('Participants'!A73="",0,IF(COUNTIF('Participants'!$A$5:$A$204,'Participants'!A73)&gt;1,1,0))</x:f>
        <x:v>0</x:v>
      </x:c>
      <x:c r="R77" s="112" t="n">
        <x:f>IF('Sessions'!A73="",0,IF(COUNTIF('Sessions'!$A$5:$A$204,'Sessions'!A73)&gt;1,1,0))</x:f>
        <x:v>0</x:v>
      </x:c>
      <x:c r="S77" s="112" t="n">
        <x:f>IF('Attempts'!A73="",0,IF(COUNTIF('Attempts'!$A$5:$A$204,'Attempts'!A73)&gt;1,1,0))</x:f>
        <x:v>0</x:v>
      </x:c>
      <x:c r="T77" s="112" t="n">
        <x:f>IF('Session Training Data'!A73="",0,IF(COUNTIF('Session Training Data'!$A$5:$A$204,'Session Training Data'!A73)&gt;1,1,0))</x:f>
        <x:v>0</x:v>
      </x:c>
    </x:row>
    <x:row r="78">
      <x:c r="G78" s="112" t="n">
        <x:f>IF('Sessions'!B74="",0,IF(COUNTIF('Participants'!$A$5:$A$204,'Sessions'!B74)=0,1,0))</x:f>
        <x:v>0</x:v>
      </x:c>
      <x:c r="H78" s="112" t="n">
        <x:f>IF('Attempts'!B74="",0,IF(COUNTIF('Sessions'!$A$5:$A$204,'Attempts'!B74)=0,1,0))</x:f>
        <x:v>0</x:v>
      </x:c>
      <x:c r="I78" s="112" t="n">
        <x:f>IF('Sessions'!A74="",0,IF(COUNTIF('Expert Labels'!$B$5:$B$204,'Sessions'!A74)=0,1,0))</x:f>
        <x:v>0</x:v>
      </x:c>
      <x:c r="J78" s="112" t="n">
        <x:f>IF('Expert Labels'!B74="",0,IF(COUNTIF('Expert Labels'!$B$5:$B$204,'Expert Labels'!B74)&gt;1,1,0))</x:f>
        <x:v>0</x:v>
      </x:c>
      <x:c r="K78" s="112" t="n">
        <x:f>IF('Expert Labels'!B74="",0,IF(COUNTIF('Sessions'!$A$5:$A$204,'Expert Labels'!B74)=0,1,0))</x:f>
        <x:v>0</x:v>
      </x:c>
      <x:c r="L78" s="112" t="n">
        <x:f>IF('Session Training Data'!A74="",0,IF(COUNTIF('Sessions'!$A$5:$A$204,'Session Training Data'!A74)=0,1,0))</x:f>
        <x:v>0</x:v>
      </x:c>
      <x:c r="M78" s="112" t="n">
        <x:f>IF('Session Training Data'!AF74="",0,IF(COUNTIF('Participants'!$A$5:$A$204,'Session Training Data'!AF74)=0,1,0))</x:f>
        <x:v>0</x:v>
      </x:c>
      <x:c r="N78" s="112" t="n">
        <x:f>IF(OR('Session Training Data'!A74="",'Session Training Data'!AF74=""),0,IF(COUNTIFS('Sessions'!$A$5:$A$204,'Session Training Data'!A74,'Sessions'!$B$5:$B$204,'Session Training Data'!AF74)=0,1,0))</x:f>
        <x:v>0</x:v>
      </x:c>
      <x:c r="O78" s="112" t="n">
        <x:f>IF('Session Training Data'!AF74="",0,IF(COUNTIFS('Participants'!$A$5:$A$204,'Session Training Data'!AF74,'Participants'!$D$5:$D$204,"yes")=0,1,0))</x:f>
        <x:v>0</x:v>
      </x:c>
      <x:c r="P78" s="112" t="n">
        <x:f>IF('Session Training Data'!AF74="",0,IF(COUNTIF('Session Training Data'!$AF$5:AF74,'Session Training Data'!AF74)=1,1,0))</x:f>
        <x:v>0</x:v>
      </x:c>
      <x:c r="Q78" s="112" t="n">
        <x:f>IF('Participants'!A74="",0,IF(COUNTIF('Participants'!$A$5:$A$204,'Participants'!A74)&gt;1,1,0))</x:f>
        <x:v>0</x:v>
      </x:c>
      <x:c r="R78" s="112" t="n">
        <x:f>IF('Sessions'!A74="",0,IF(COUNTIF('Sessions'!$A$5:$A$204,'Sessions'!A74)&gt;1,1,0))</x:f>
        <x:v>0</x:v>
      </x:c>
      <x:c r="S78" s="112" t="n">
        <x:f>IF('Attempts'!A74="",0,IF(COUNTIF('Attempts'!$A$5:$A$204,'Attempts'!A74)&gt;1,1,0))</x:f>
        <x:v>0</x:v>
      </x:c>
      <x:c r="T78" s="112" t="n">
        <x:f>IF('Session Training Data'!A74="",0,IF(COUNTIF('Session Training Data'!$A$5:$A$204,'Session Training Data'!A74)&gt;1,1,0))</x:f>
        <x:v>0</x:v>
      </x:c>
    </x:row>
    <x:row r="79">
      <x:c r="G79" s="112" t="n">
        <x:f>IF('Sessions'!B75="",0,IF(COUNTIF('Participants'!$A$5:$A$204,'Sessions'!B75)=0,1,0))</x:f>
        <x:v>0</x:v>
      </x:c>
      <x:c r="H79" s="112" t="n">
        <x:f>IF('Attempts'!B75="",0,IF(COUNTIF('Sessions'!$A$5:$A$204,'Attempts'!B75)=0,1,0))</x:f>
        <x:v>0</x:v>
      </x:c>
      <x:c r="I79" s="112" t="n">
        <x:f>IF('Sessions'!A75="",0,IF(COUNTIF('Expert Labels'!$B$5:$B$204,'Sessions'!A75)=0,1,0))</x:f>
        <x:v>0</x:v>
      </x:c>
      <x:c r="J79" s="112" t="n">
        <x:f>IF('Expert Labels'!B75="",0,IF(COUNTIF('Expert Labels'!$B$5:$B$204,'Expert Labels'!B75)&gt;1,1,0))</x:f>
        <x:v>0</x:v>
      </x:c>
      <x:c r="K79" s="112" t="n">
        <x:f>IF('Expert Labels'!B75="",0,IF(COUNTIF('Sessions'!$A$5:$A$204,'Expert Labels'!B75)=0,1,0))</x:f>
        <x:v>0</x:v>
      </x:c>
      <x:c r="L79" s="112" t="n">
        <x:f>IF('Session Training Data'!A75="",0,IF(COUNTIF('Sessions'!$A$5:$A$204,'Session Training Data'!A75)=0,1,0))</x:f>
        <x:v>0</x:v>
      </x:c>
      <x:c r="M79" s="112" t="n">
        <x:f>IF('Session Training Data'!AF75="",0,IF(COUNTIF('Participants'!$A$5:$A$204,'Session Training Data'!AF75)=0,1,0))</x:f>
        <x:v>0</x:v>
      </x:c>
      <x:c r="N79" s="112" t="n">
        <x:f>IF(OR('Session Training Data'!A75="",'Session Training Data'!AF75=""),0,IF(COUNTIFS('Sessions'!$A$5:$A$204,'Session Training Data'!A75,'Sessions'!$B$5:$B$204,'Session Training Data'!AF75)=0,1,0))</x:f>
        <x:v>0</x:v>
      </x:c>
      <x:c r="O79" s="112" t="n">
        <x:f>IF('Session Training Data'!AF75="",0,IF(COUNTIFS('Participants'!$A$5:$A$204,'Session Training Data'!AF75,'Participants'!$D$5:$D$204,"yes")=0,1,0))</x:f>
        <x:v>0</x:v>
      </x:c>
      <x:c r="P79" s="112" t="n">
        <x:f>IF('Session Training Data'!AF75="",0,IF(COUNTIF('Session Training Data'!$AF$5:AF75,'Session Training Data'!AF75)=1,1,0))</x:f>
        <x:v>0</x:v>
      </x:c>
      <x:c r="Q79" s="112" t="n">
        <x:f>IF('Participants'!A75="",0,IF(COUNTIF('Participants'!$A$5:$A$204,'Participants'!A75)&gt;1,1,0))</x:f>
        <x:v>0</x:v>
      </x:c>
      <x:c r="R79" s="112" t="n">
        <x:f>IF('Sessions'!A75="",0,IF(COUNTIF('Sessions'!$A$5:$A$204,'Sessions'!A75)&gt;1,1,0))</x:f>
        <x:v>0</x:v>
      </x:c>
      <x:c r="S79" s="112" t="n">
        <x:f>IF('Attempts'!A75="",0,IF(COUNTIF('Attempts'!$A$5:$A$204,'Attempts'!A75)&gt;1,1,0))</x:f>
        <x:v>0</x:v>
      </x:c>
      <x:c r="T79" s="112" t="n">
        <x:f>IF('Session Training Data'!A75="",0,IF(COUNTIF('Session Training Data'!$A$5:$A$204,'Session Training Data'!A75)&gt;1,1,0))</x:f>
        <x:v>0</x:v>
      </x:c>
    </x:row>
    <x:row r="80">
      <x:c r="G80" s="112" t="n">
        <x:f>IF('Sessions'!B76="",0,IF(COUNTIF('Participants'!$A$5:$A$204,'Sessions'!B76)=0,1,0))</x:f>
        <x:v>0</x:v>
      </x:c>
      <x:c r="H80" s="112" t="n">
        <x:f>IF('Attempts'!B76="",0,IF(COUNTIF('Sessions'!$A$5:$A$204,'Attempts'!B76)=0,1,0))</x:f>
        <x:v>0</x:v>
      </x:c>
      <x:c r="I80" s="112" t="n">
        <x:f>IF('Sessions'!A76="",0,IF(COUNTIF('Expert Labels'!$B$5:$B$204,'Sessions'!A76)=0,1,0))</x:f>
        <x:v>0</x:v>
      </x:c>
      <x:c r="J80" s="112" t="n">
        <x:f>IF('Expert Labels'!B76="",0,IF(COUNTIF('Expert Labels'!$B$5:$B$204,'Expert Labels'!B76)&gt;1,1,0))</x:f>
        <x:v>0</x:v>
      </x:c>
      <x:c r="K80" s="112" t="n">
        <x:f>IF('Expert Labels'!B76="",0,IF(COUNTIF('Sessions'!$A$5:$A$204,'Expert Labels'!B76)=0,1,0))</x:f>
        <x:v>0</x:v>
      </x:c>
      <x:c r="L80" s="112" t="n">
        <x:f>IF('Session Training Data'!A76="",0,IF(COUNTIF('Sessions'!$A$5:$A$204,'Session Training Data'!A76)=0,1,0))</x:f>
        <x:v>0</x:v>
      </x:c>
      <x:c r="M80" s="112" t="n">
        <x:f>IF('Session Training Data'!AF76="",0,IF(COUNTIF('Participants'!$A$5:$A$204,'Session Training Data'!AF76)=0,1,0))</x:f>
        <x:v>0</x:v>
      </x:c>
      <x:c r="N80" s="112" t="n">
        <x:f>IF(OR('Session Training Data'!A76="",'Session Training Data'!AF76=""),0,IF(COUNTIFS('Sessions'!$A$5:$A$204,'Session Training Data'!A76,'Sessions'!$B$5:$B$204,'Session Training Data'!AF76)=0,1,0))</x:f>
        <x:v>0</x:v>
      </x:c>
      <x:c r="O80" s="112" t="n">
        <x:f>IF('Session Training Data'!AF76="",0,IF(COUNTIFS('Participants'!$A$5:$A$204,'Session Training Data'!AF76,'Participants'!$D$5:$D$204,"yes")=0,1,0))</x:f>
        <x:v>0</x:v>
      </x:c>
      <x:c r="P80" s="112" t="n">
        <x:f>IF('Session Training Data'!AF76="",0,IF(COUNTIF('Session Training Data'!$AF$5:AF76,'Session Training Data'!AF76)=1,1,0))</x:f>
        <x:v>0</x:v>
      </x:c>
      <x:c r="Q80" s="112" t="n">
        <x:f>IF('Participants'!A76="",0,IF(COUNTIF('Participants'!$A$5:$A$204,'Participants'!A76)&gt;1,1,0))</x:f>
        <x:v>0</x:v>
      </x:c>
      <x:c r="R80" s="112" t="n">
        <x:f>IF('Sessions'!A76="",0,IF(COUNTIF('Sessions'!$A$5:$A$204,'Sessions'!A76)&gt;1,1,0))</x:f>
        <x:v>0</x:v>
      </x:c>
      <x:c r="S80" s="112" t="n">
        <x:f>IF('Attempts'!A76="",0,IF(COUNTIF('Attempts'!$A$5:$A$204,'Attempts'!A76)&gt;1,1,0))</x:f>
        <x:v>0</x:v>
      </x:c>
      <x:c r="T80" s="112" t="n">
        <x:f>IF('Session Training Data'!A76="",0,IF(COUNTIF('Session Training Data'!$A$5:$A$204,'Session Training Data'!A76)&gt;1,1,0))</x:f>
        <x:v>0</x:v>
      </x:c>
    </x:row>
    <x:row r="81">
      <x:c r="G81" s="112" t="n">
        <x:f>IF('Sessions'!B77="",0,IF(COUNTIF('Participants'!$A$5:$A$204,'Sessions'!B77)=0,1,0))</x:f>
        <x:v>0</x:v>
      </x:c>
      <x:c r="H81" s="112" t="n">
        <x:f>IF('Attempts'!B77="",0,IF(COUNTIF('Sessions'!$A$5:$A$204,'Attempts'!B77)=0,1,0))</x:f>
        <x:v>0</x:v>
      </x:c>
      <x:c r="I81" s="112" t="n">
        <x:f>IF('Sessions'!A77="",0,IF(COUNTIF('Expert Labels'!$B$5:$B$204,'Sessions'!A77)=0,1,0))</x:f>
        <x:v>0</x:v>
      </x:c>
      <x:c r="J81" s="112" t="n">
        <x:f>IF('Expert Labels'!B77="",0,IF(COUNTIF('Expert Labels'!$B$5:$B$204,'Expert Labels'!B77)&gt;1,1,0))</x:f>
        <x:v>0</x:v>
      </x:c>
      <x:c r="K81" s="112" t="n">
        <x:f>IF('Expert Labels'!B77="",0,IF(COUNTIF('Sessions'!$A$5:$A$204,'Expert Labels'!B77)=0,1,0))</x:f>
        <x:v>0</x:v>
      </x:c>
      <x:c r="L81" s="112" t="n">
        <x:f>IF('Session Training Data'!A77="",0,IF(COUNTIF('Sessions'!$A$5:$A$204,'Session Training Data'!A77)=0,1,0))</x:f>
        <x:v>0</x:v>
      </x:c>
      <x:c r="M81" s="112" t="n">
        <x:f>IF('Session Training Data'!AF77="",0,IF(COUNTIF('Participants'!$A$5:$A$204,'Session Training Data'!AF77)=0,1,0))</x:f>
        <x:v>0</x:v>
      </x:c>
      <x:c r="N81" s="112" t="n">
        <x:f>IF(OR('Session Training Data'!A77="",'Session Training Data'!AF77=""),0,IF(COUNTIFS('Sessions'!$A$5:$A$204,'Session Training Data'!A77,'Sessions'!$B$5:$B$204,'Session Training Data'!AF77)=0,1,0))</x:f>
        <x:v>0</x:v>
      </x:c>
      <x:c r="O81" s="112" t="n">
        <x:f>IF('Session Training Data'!AF77="",0,IF(COUNTIFS('Participants'!$A$5:$A$204,'Session Training Data'!AF77,'Participants'!$D$5:$D$204,"yes")=0,1,0))</x:f>
        <x:v>0</x:v>
      </x:c>
      <x:c r="P81" s="112" t="n">
        <x:f>IF('Session Training Data'!AF77="",0,IF(COUNTIF('Session Training Data'!$AF$5:AF77,'Session Training Data'!AF77)=1,1,0))</x:f>
        <x:v>0</x:v>
      </x:c>
      <x:c r="Q81" s="112" t="n">
        <x:f>IF('Participants'!A77="",0,IF(COUNTIF('Participants'!$A$5:$A$204,'Participants'!A77)&gt;1,1,0))</x:f>
        <x:v>0</x:v>
      </x:c>
      <x:c r="R81" s="112" t="n">
        <x:f>IF('Sessions'!A77="",0,IF(COUNTIF('Sessions'!$A$5:$A$204,'Sessions'!A77)&gt;1,1,0))</x:f>
        <x:v>0</x:v>
      </x:c>
      <x:c r="S81" s="112" t="n">
        <x:f>IF('Attempts'!A77="",0,IF(COUNTIF('Attempts'!$A$5:$A$204,'Attempts'!A77)&gt;1,1,0))</x:f>
        <x:v>0</x:v>
      </x:c>
      <x:c r="T81" s="112" t="n">
        <x:f>IF('Session Training Data'!A77="",0,IF(COUNTIF('Session Training Data'!$A$5:$A$204,'Session Training Data'!A77)&gt;1,1,0))</x:f>
        <x:v>0</x:v>
      </x:c>
    </x:row>
    <x:row r="82">
      <x:c r="G82" s="112" t="n">
        <x:f>IF('Sessions'!B78="",0,IF(COUNTIF('Participants'!$A$5:$A$204,'Sessions'!B78)=0,1,0))</x:f>
        <x:v>0</x:v>
      </x:c>
      <x:c r="H82" s="112" t="n">
        <x:f>IF('Attempts'!B78="",0,IF(COUNTIF('Sessions'!$A$5:$A$204,'Attempts'!B78)=0,1,0))</x:f>
        <x:v>0</x:v>
      </x:c>
      <x:c r="I82" s="112" t="n">
        <x:f>IF('Sessions'!A78="",0,IF(COUNTIF('Expert Labels'!$B$5:$B$204,'Sessions'!A78)=0,1,0))</x:f>
        <x:v>0</x:v>
      </x:c>
      <x:c r="J82" s="112" t="n">
        <x:f>IF('Expert Labels'!B78="",0,IF(COUNTIF('Expert Labels'!$B$5:$B$204,'Expert Labels'!B78)&gt;1,1,0))</x:f>
        <x:v>0</x:v>
      </x:c>
      <x:c r="K82" s="112" t="n">
        <x:f>IF('Expert Labels'!B78="",0,IF(COUNTIF('Sessions'!$A$5:$A$204,'Expert Labels'!B78)=0,1,0))</x:f>
        <x:v>0</x:v>
      </x:c>
      <x:c r="L82" s="112" t="n">
        <x:f>IF('Session Training Data'!A78="",0,IF(COUNTIF('Sessions'!$A$5:$A$204,'Session Training Data'!A78)=0,1,0))</x:f>
        <x:v>0</x:v>
      </x:c>
      <x:c r="M82" s="112" t="n">
        <x:f>IF('Session Training Data'!AF78="",0,IF(COUNTIF('Participants'!$A$5:$A$204,'Session Training Data'!AF78)=0,1,0))</x:f>
        <x:v>0</x:v>
      </x:c>
      <x:c r="N82" s="112" t="n">
        <x:f>IF(OR('Session Training Data'!A78="",'Session Training Data'!AF78=""),0,IF(COUNTIFS('Sessions'!$A$5:$A$204,'Session Training Data'!A78,'Sessions'!$B$5:$B$204,'Session Training Data'!AF78)=0,1,0))</x:f>
        <x:v>0</x:v>
      </x:c>
      <x:c r="O82" s="112" t="n">
        <x:f>IF('Session Training Data'!AF78="",0,IF(COUNTIFS('Participants'!$A$5:$A$204,'Session Training Data'!AF78,'Participants'!$D$5:$D$204,"yes")=0,1,0))</x:f>
        <x:v>0</x:v>
      </x:c>
      <x:c r="P82" s="112" t="n">
        <x:f>IF('Session Training Data'!AF78="",0,IF(COUNTIF('Session Training Data'!$AF$5:AF78,'Session Training Data'!AF78)=1,1,0))</x:f>
        <x:v>0</x:v>
      </x:c>
      <x:c r="Q82" s="112" t="n">
        <x:f>IF('Participants'!A78="",0,IF(COUNTIF('Participants'!$A$5:$A$204,'Participants'!A78)&gt;1,1,0))</x:f>
        <x:v>0</x:v>
      </x:c>
      <x:c r="R82" s="112" t="n">
        <x:f>IF('Sessions'!A78="",0,IF(COUNTIF('Sessions'!$A$5:$A$204,'Sessions'!A78)&gt;1,1,0))</x:f>
        <x:v>0</x:v>
      </x:c>
      <x:c r="S82" s="112" t="n">
        <x:f>IF('Attempts'!A78="",0,IF(COUNTIF('Attempts'!$A$5:$A$204,'Attempts'!A78)&gt;1,1,0))</x:f>
        <x:v>0</x:v>
      </x:c>
      <x:c r="T82" s="112" t="n">
        <x:f>IF('Session Training Data'!A78="",0,IF(COUNTIF('Session Training Data'!$A$5:$A$204,'Session Training Data'!A78)&gt;1,1,0))</x:f>
        <x:v>0</x:v>
      </x:c>
    </x:row>
    <x:row r="83">
      <x:c r="G83" s="112" t="n">
        <x:f>IF('Sessions'!B79="",0,IF(COUNTIF('Participants'!$A$5:$A$204,'Sessions'!B79)=0,1,0))</x:f>
        <x:v>0</x:v>
      </x:c>
      <x:c r="H83" s="112" t="n">
        <x:f>IF('Attempts'!B79="",0,IF(COUNTIF('Sessions'!$A$5:$A$204,'Attempts'!B79)=0,1,0))</x:f>
        <x:v>0</x:v>
      </x:c>
      <x:c r="I83" s="112" t="n">
        <x:f>IF('Sessions'!A79="",0,IF(COUNTIF('Expert Labels'!$B$5:$B$204,'Sessions'!A79)=0,1,0))</x:f>
        <x:v>0</x:v>
      </x:c>
      <x:c r="J83" s="112" t="n">
        <x:f>IF('Expert Labels'!B79="",0,IF(COUNTIF('Expert Labels'!$B$5:$B$204,'Expert Labels'!B79)&gt;1,1,0))</x:f>
        <x:v>0</x:v>
      </x:c>
      <x:c r="K83" s="112" t="n">
        <x:f>IF('Expert Labels'!B79="",0,IF(COUNTIF('Sessions'!$A$5:$A$204,'Expert Labels'!B79)=0,1,0))</x:f>
        <x:v>0</x:v>
      </x:c>
      <x:c r="L83" s="112" t="n">
        <x:f>IF('Session Training Data'!A79="",0,IF(COUNTIF('Sessions'!$A$5:$A$204,'Session Training Data'!A79)=0,1,0))</x:f>
        <x:v>0</x:v>
      </x:c>
      <x:c r="M83" s="112" t="n">
        <x:f>IF('Session Training Data'!AF79="",0,IF(COUNTIF('Participants'!$A$5:$A$204,'Session Training Data'!AF79)=0,1,0))</x:f>
        <x:v>0</x:v>
      </x:c>
      <x:c r="N83" s="112" t="n">
        <x:f>IF(OR('Session Training Data'!A79="",'Session Training Data'!AF79=""),0,IF(COUNTIFS('Sessions'!$A$5:$A$204,'Session Training Data'!A79,'Sessions'!$B$5:$B$204,'Session Training Data'!AF79)=0,1,0))</x:f>
        <x:v>0</x:v>
      </x:c>
      <x:c r="O83" s="112" t="n">
        <x:f>IF('Session Training Data'!AF79="",0,IF(COUNTIFS('Participants'!$A$5:$A$204,'Session Training Data'!AF79,'Participants'!$D$5:$D$204,"yes")=0,1,0))</x:f>
        <x:v>0</x:v>
      </x:c>
      <x:c r="P83" s="112" t="n">
        <x:f>IF('Session Training Data'!AF79="",0,IF(COUNTIF('Session Training Data'!$AF$5:AF79,'Session Training Data'!AF79)=1,1,0))</x:f>
        <x:v>0</x:v>
      </x:c>
      <x:c r="Q83" s="112" t="n">
        <x:f>IF('Participants'!A79="",0,IF(COUNTIF('Participants'!$A$5:$A$204,'Participants'!A79)&gt;1,1,0))</x:f>
        <x:v>0</x:v>
      </x:c>
      <x:c r="R83" s="112" t="n">
        <x:f>IF('Sessions'!A79="",0,IF(COUNTIF('Sessions'!$A$5:$A$204,'Sessions'!A79)&gt;1,1,0))</x:f>
        <x:v>0</x:v>
      </x:c>
      <x:c r="S83" s="112" t="n">
        <x:f>IF('Attempts'!A79="",0,IF(COUNTIF('Attempts'!$A$5:$A$204,'Attempts'!A79)&gt;1,1,0))</x:f>
        <x:v>0</x:v>
      </x:c>
      <x:c r="T83" s="112" t="n">
        <x:f>IF('Session Training Data'!A79="",0,IF(COUNTIF('Session Training Data'!$A$5:$A$204,'Session Training Data'!A79)&gt;1,1,0))</x:f>
        <x:v>0</x:v>
      </x:c>
    </x:row>
    <x:row r="84">
      <x:c r="G84" s="112" t="n">
        <x:f>IF('Sessions'!B80="",0,IF(COUNTIF('Participants'!$A$5:$A$204,'Sessions'!B80)=0,1,0))</x:f>
        <x:v>0</x:v>
      </x:c>
      <x:c r="H84" s="112" t="n">
        <x:f>IF('Attempts'!B80="",0,IF(COUNTIF('Sessions'!$A$5:$A$204,'Attempts'!B80)=0,1,0))</x:f>
        <x:v>0</x:v>
      </x:c>
      <x:c r="I84" s="112" t="n">
        <x:f>IF('Sessions'!A80="",0,IF(COUNTIF('Expert Labels'!$B$5:$B$204,'Sessions'!A80)=0,1,0))</x:f>
        <x:v>0</x:v>
      </x:c>
      <x:c r="J84" s="112" t="n">
        <x:f>IF('Expert Labels'!B80="",0,IF(COUNTIF('Expert Labels'!$B$5:$B$204,'Expert Labels'!B80)&gt;1,1,0))</x:f>
        <x:v>0</x:v>
      </x:c>
      <x:c r="K84" s="112" t="n">
        <x:f>IF('Expert Labels'!B80="",0,IF(COUNTIF('Sessions'!$A$5:$A$204,'Expert Labels'!B80)=0,1,0))</x:f>
        <x:v>0</x:v>
      </x:c>
      <x:c r="L84" s="112" t="n">
        <x:f>IF('Session Training Data'!A80="",0,IF(COUNTIF('Sessions'!$A$5:$A$204,'Session Training Data'!A80)=0,1,0))</x:f>
        <x:v>0</x:v>
      </x:c>
      <x:c r="M84" s="112" t="n">
        <x:f>IF('Session Training Data'!AF80="",0,IF(COUNTIF('Participants'!$A$5:$A$204,'Session Training Data'!AF80)=0,1,0))</x:f>
        <x:v>0</x:v>
      </x:c>
      <x:c r="N84" s="112" t="n">
        <x:f>IF(OR('Session Training Data'!A80="",'Session Training Data'!AF80=""),0,IF(COUNTIFS('Sessions'!$A$5:$A$204,'Session Training Data'!A80,'Sessions'!$B$5:$B$204,'Session Training Data'!AF80)=0,1,0))</x:f>
        <x:v>0</x:v>
      </x:c>
      <x:c r="O84" s="112" t="n">
        <x:f>IF('Session Training Data'!AF80="",0,IF(COUNTIFS('Participants'!$A$5:$A$204,'Session Training Data'!AF80,'Participants'!$D$5:$D$204,"yes")=0,1,0))</x:f>
        <x:v>0</x:v>
      </x:c>
      <x:c r="P84" s="112" t="n">
        <x:f>IF('Session Training Data'!AF80="",0,IF(COUNTIF('Session Training Data'!$AF$5:AF80,'Session Training Data'!AF80)=1,1,0))</x:f>
        <x:v>0</x:v>
      </x:c>
      <x:c r="Q84" s="112" t="n">
        <x:f>IF('Participants'!A80="",0,IF(COUNTIF('Participants'!$A$5:$A$204,'Participants'!A80)&gt;1,1,0))</x:f>
        <x:v>0</x:v>
      </x:c>
      <x:c r="R84" s="112" t="n">
        <x:f>IF('Sessions'!A80="",0,IF(COUNTIF('Sessions'!$A$5:$A$204,'Sessions'!A80)&gt;1,1,0))</x:f>
        <x:v>0</x:v>
      </x:c>
      <x:c r="S84" s="112" t="n">
        <x:f>IF('Attempts'!A80="",0,IF(COUNTIF('Attempts'!$A$5:$A$204,'Attempts'!A80)&gt;1,1,0))</x:f>
        <x:v>0</x:v>
      </x:c>
      <x:c r="T84" s="112" t="n">
        <x:f>IF('Session Training Data'!A80="",0,IF(COUNTIF('Session Training Data'!$A$5:$A$204,'Session Training Data'!A80)&gt;1,1,0))</x:f>
        <x:v>0</x:v>
      </x:c>
    </x:row>
    <x:row r="85">
      <x:c r="G85" s="112" t="n">
        <x:f>IF('Sessions'!B81="",0,IF(COUNTIF('Participants'!$A$5:$A$204,'Sessions'!B81)=0,1,0))</x:f>
        <x:v>0</x:v>
      </x:c>
      <x:c r="H85" s="112" t="n">
        <x:f>IF('Attempts'!B81="",0,IF(COUNTIF('Sessions'!$A$5:$A$204,'Attempts'!B81)=0,1,0))</x:f>
        <x:v>0</x:v>
      </x:c>
      <x:c r="I85" s="112" t="n">
        <x:f>IF('Sessions'!A81="",0,IF(COUNTIF('Expert Labels'!$B$5:$B$204,'Sessions'!A81)=0,1,0))</x:f>
        <x:v>0</x:v>
      </x:c>
      <x:c r="J85" s="112" t="n">
        <x:f>IF('Expert Labels'!B81="",0,IF(COUNTIF('Expert Labels'!$B$5:$B$204,'Expert Labels'!B81)&gt;1,1,0))</x:f>
        <x:v>0</x:v>
      </x:c>
      <x:c r="K85" s="112" t="n">
        <x:f>IF('Expert Labels'!B81="",0,IF(COUNTIF('Sessions'!$A$5:$A$204,'Expert Labels'!B81)=0,1,0))</x:f>
        <x:v>0</x:v>
      </x:c>
      <x:c r="L85" s="112" t="n">
        <x:f>IF('Session Training Data'!A81="",0,IF(COUNTIF('Sessions'!$A$5:$A$204,'Session Training Data'!A81)=0,1,0))</x:f>
        <x:v>0</x:v>
      </x:c>
      <x:c r="M85" s="112" t="n">
        <x:f>IF('Session Training Data'!AF81="",0,IF(COUNTIF('Participants'!$A$5:$A$204,'Session Training Data'!AF81)=0,1,0))</x:f>
        <x:v>0</x:v>
      </x:c>
      <x:c r="N85" s="112" t="n">
        <x:f>IF(OR('Session Training Data'!A81="",'Session Training Data'!AF81=""),0,IF(COUNTIFS('Sessions'!$A$5:$A$204,'Session Training Data'!A81,'Sessions'!$B$5:$B$204,'Session Training Data'!AF81)=0,1,0))</x:f>
        <x:v>0</x:v>
      </x:c>
      <x:c r="O85" s="112" t="n">
        <x:f>IF('Session Training Data'!AF81="",0,IF(COUNTIFS('Participants'!$A$5:$A$204,'Session Training Data'!AF81,'Participants'!$D$5:$D$204,"yes")=0,1,0))</x:f>
        <x:v>0</x:v>
      </x:c>
      <x:c r="P85" s="112" t="n">
        <x:f>IF('Session Training Data'!AF81="",0,IF(COUNTIF('Session Training Data'!$AF$5:AF81,'Session Training Data'!AF81)=1,1,0))</x:f>
        <x:v>0</x:v>
      </x:c>
      <x:c r="Q85" s="112" t="n">
        <x:f>IF('Participants'!A81="",0,IF(COUNTIF('Participants'!$A$5:$A$204,'Participants'!A81)&gt;1,1,0))</x:f>
        <x:v>0</x:v>
      </x:c>
      <x:c r="R85" s="112" t="n">
        <x:f>IF('Sessions'!A81="",0,IF(COUNTIF('Sessions'!$A$5:$A$204,'Sessions'!A81)&gt;1,1,0))</x:f>
        <x:v>0</x:v>
      </x:c>
      <x:c r="S85" s="112" t="n">
        <x:f>IF('Attempts'!A81="",0,IF(COUNTIF('Attempts'!$A$5:$A$204,'Attempts'!A81)&gt;1,1,0))</x:f>
        <x:v>0</x:v>
      </x:c>
      <x:c r="T85" s="112" t="n">
        <x:f>IF('Session Training Data'!A81="",0,IF(COUNTIF('Session Training Data'!$A$5:$A$204,'Session Training Data'!A81)&gt;1,1,0))</x:f>
        <x:v>0</x:v>
      </x:c>
    </x:row>
    <x:row r="86">
      <x:c r="G86" s="112" t="n">
        <x:f>IF('Sessions'!B82="",0,IF(COUNTIF('Participants'!$A$5:$A$204,'Sessions'!B82)=0,1,0))</x:f>
        <x:v>0</x:v>
      </x:c>
      <x:c r="H86" s="112" t="n">
        <x:f>IF('Attempts'!B82="",0,IF(COUNTIF('Sessions'!$A$5:$A$204,'Attempts'!B82)=0,1,0))</x:f>
        <x:v>0</x:v>
      </x:c>
      <x:c r="I86" s="112" t="n">
        <x:f>IF('Sessions'!A82="",0,IF(COUNTIF('Expert Labels'!$B$5:$B$204,'Sessions'!A82)=0,1,0))</x:f>
        <x:v>0</x:v>
      </x:c>
      <x:c r="J86" s="112" t="n">
        <x:f>IF('Expert Labels'!B82="",0,IF(COUNTIF('Expert Labels'!$B$5:$B$204,'Expert Labels'!B82)&gt;1,1,0))</x:f>
        <x:v>0</x:v>
      </x:c>
      <x:c r="K86" s="112" t="n">
        <x:f>IF('Expert Labels'!B82="",0,IF(COUNTIF('Sessions'!$A$5:$A$204,'Expert Labels'!B82)=0,1,0))</x:f>
        <x:v>0</x:v>
      </x:c>
      <x:c r="L86" s="112" t="n">
        <x:f>IF('Session Training Data'!A82="",0,IF(COUNTIF('Sessions'!$A$5:$A$204,'Session Training Data'!A82)=0,1,0))</x:f>
        <x:v>0</x:v>
      </x:c>
      <x:c r="M86" s="112" t="n">
        <x:f>IF('Session Training Data'!AF82="",0,IF(COUNTIF('Participants'!$A$5:$A$204,'Session Training Data'!AF82)=0,1,0))</x:f>
        <x:v>0</x:v>
      </x:c>
      <x:c r="N86" s="112" t="n">
        <x:f>IF(OR('Session Training Data'!A82="",'Session Training Data'!AF82=""),0,IF(COUNTIFS('Sessions'!$A$5:$A$204,'Session Training Data'!A82,'Sessions'!$B$5:$B$204,'Session Training Data'!AF82)=0,1,0))</x:f>
        <x:v>0</x:v>
      </x:c>
      <x:c r="O86" s="112" t="n">
        <x:f>IF('Session Training Data'!AF82="",0,IF(COUNTIFS('Participants'!$A$5:$A$204,'Session Training Data'!AF82,'Participants'!$D$5:$D$204,"yes")=0,1,0))</x:f>
        <x:v>0</x:v>
      </x:c>
      <x:c r="P86" s="112" t="n">
        <x:f>IF('Session Training Data'!AF82="",0,IF(COUNTIF('Session Training Data'!$AF$5:AF82,'Session Training Data'!AF82)=1,1,0))</x:f>
        <x:v>0</x:v>
      </x:c>
      <x:c r="Q86" s="112" t="n">
        <x:f>IF('Participants'!A82="",0,IF(COUNTIF('Participants'!$A$5:$A$204,'Participants'!A82)&gt;1,1,0))</x:f>
        <x:v>0</x:v>
      </x:c>
      <x:c r="R86" s="112" t="n">
        <x:f>IF('Sessions'!A82="",0,IF(COUNTIF('Sessions'!$A$5:$A$204,'Sessions'!A82)&gt;1,1,0))</x:f>
        <x:v>0</x:v>
      </x:c>
      <x:c r="S86" s="112" t="n">
        <x:f>IF('Attempts'!A82="",0,IF(COUNTIF('Attempts'!$A$5:$A$204,'Attempts'!A82)&gt;1,1,0))</x:f>
        <x:v>0</x:v>
      </x:c>
      <x:c r="T86" s="112" t="n">
        <x:f>IF('Session Training Data'!A82="",0,IF(COUNTIF('Session Training Data'!$A$5:$A$204,'Session Training Data'!A82)&gt;1,1,0))</x:f>
        <x:v>0</x:v>
      </x:c>
    </x:row>
    <x:row r="87">
      <x:c r="G87" s="112" t="n">
        <x:f>IF('Sessions'!B83="",0,IF(COUNTIF('Participants'!$A$5:$A$204,'Sessions'!B83)=0,1,0))</x:f>
        <x:v>0</x:v>
      </x:c>
      <x:c r="H87" s="112" t="n">
        <x:f>IF('Attempts'!B83="",0,IF(COUNTIF('Sessions'!$A$5:$A$204,'Attempts'!B83)=0,1,0))</x:f>
        <x:v>0</x:v>
      </x:c>
      <x:c r="I87" s="112" t="n">
        <x:f>IF('Sessions'!A83="",0,IF(COUNTIF('Expert Labels'!$B$5:$B$204,'Sessions'!A83)=0,1,0))</x:f>
        <x:v>0</x:v>
      </x:c>
      <x:c r="J87" s="112" t="n">
        <x:f>IF('Expert Labels'!B83="",0,IF(COUNTIF('Expert Labels'!$B$5:$B$204,'Expert Labels'!B83)&gt;1,1,0))</x:f>
        <x:v>0</x:v>
      </x:c>
      <x:c r="K87" s="112" t="n">
        <x:f>IF('Expert Labels'!B83="",0,IF(COUNTIF('Sessions'!$A$5:$A$204,'Expert Labels'!B83)=0,1,0))</x:f>
        <x:v>0</x:v>
      </x:c>
      <x:c r="L87" s="112" t="n">
        <x:f>IF('Session Training Data'!A83="",0,IF(COUNTIF('Sessions'!$A$5:$A$204,'Session Training Data'!A83)=0,1,0))</x:f>
        <x:v>0</x:v>
      </x:c>
      <x:c r="M87" s="112" t="n">
        <x:f>IF('Session Training Data'!AF83="",0,IF(COUNTIF('Participants'!$A$5:$A$204,'Session Training Data'!AF83)=0,1,0))</x:f>
        <x:v>0</x:v>
      </x:c>
      <x:c r="N87" s="112" t="n">
        <x:f>IF(OR('Session Training Data'!A83="",'Session Training Data'!AF83=""),0,IF(COUNTIFS('Sessions'!$A$5:$A$204,'Session Training Data'!A83,'Sessions'!$B$5:$B$204,'Session Training Data'!AF83)=0,1,0))</x:f>
        <x:v>0</x:v>
      </x:c>
      <x:c r="O87" s="112" t="n">
        <x:f>IF('Session Training Data'!AF83="",0,IF(COUNTIFS('Participants'!$A$5:$A$204,'Session Training Data'!AF83,'Participants'!$D$5:$D$204,"yes")=0,1,0))</x:f>
        <x:v>0</x:v>
      </x:c>
      <x:c r="P87" s="112" t="n">
        <x:f>IF('Session Training Data'!AF83="",0,IF(COUNTIF('Session Training Data'!$AF$5:AF83,'Session Training Data'!AF83)=1,1,0))</x:f>
        <x:v>0</x:v>
      </x:c>
      <x:c r="Q87" s="112" t="n">
        <x:f>IF('Participants'!A83="",0,IF(COUNTIF('Participants'!$A$5:$A$204,'Participants'!A83)&gt;1,1,0))</x:f>
        <x:v>0</x:v>
      </x:c>
      <x:c r="R87" s="112" t="n">
        <x:f>IF('Sessions'!A83="",0,IF(COUNTIF('Sessions'!$A$5:$A$204,'Sessions'!A83)&gt;1,1,0))</x:f>
        <x:v>0</x:v>
      </x:c>
      <x:c r="S87" s="112" t="n">
        <x:f>IF('Attempts'!A83="",0,IF(COUNTIF('Attempts'!$A$5:$A$204,'Attempts'!A83)&gt;1,1,0))</x:f>
        <x:v>0</x:v>
      </x:c>
      <x:c r="T87" s="112" t="n">
        <x:f>IF('Session Training Data'!A83="",0,IF(COUNTIF('Session Training Data'!$A$5:$A$204,'Session Training Data'!A83)&gt;1,1,0))</x:f>
        <x:v>0</x:v>
      </x:c>
    </x:row>
    <x:row r="88">
      <x:c r="G88" s="112" t="n">
        <x:f>IF('Sessions'!B84="",0,IF(COUNTIF('Participants'!$A$5:$A$204,'Sessions'!B84)=0,1,0))</x:f>
        <x:v>0</x:v>
      </x:c>
      <x:c r="H88" s="112" t="n">
        <x:f>IF('Attempts'!B84="",0,IF(COUNTIF('Sessions'!$A$5:$A$204,'Attempts'!B84)=0,1,0))</x:f>
        <x:v>0</x:v>
      </x:c>
      <x:c r="I88" s="112" t="n">
        <x:f>IF('Sessions'!A84="",0,IF(COUNTIF('Expert Labels'!$B$5:$B$204,'Sessions'!A84)=0,1,0))</x:f>
        <x:v>0</x:v>
      </x:c>
      <x:c r="J88" s="112" t="n">
        <x:f>IF('Expert Labels'!B84="",0,IF(COUNTIF('Expert Labels'!$B$5:$B$204,'Expert Labels'!B84)&gt;1,1,0))</x:f>
        <x:v>0</x:v>
      </x:c>
      <x:c r="K88" s="112" t="n">
        <x:f>IF('Expert Labels'!B84="",0,IF(COUNTIF('Sessions'!$A$5:$A$204,'Expert Labels'!B84)=0,1,0))</x:f>
        <x:v>0</x:v>
      </x:c>
      <x:c r="L88" s="112" t="n">
        <x:f>IF('Session Training Data'!A84="",0,IF(COUNTIF('Sessions'!$A$5:$A$204,'Session Training Data'!A84)=0,1,0))</x:f>
        <x:v>0</x:v>
      </x:c>
      <x:c r="M88" s="112" t="n">
        <x:f>IF('Session Training Data'!AF84="",0,IF(COUNTIF('Participants'!$A$5:$A$204,'Session Training Data'!AF84)=0,1,0))</x:f>
        <x:v>0</x:v>
      </x:c>
      <x:c r="N88" s="112" t="n">
        <x:f>IF(OR('Session Training Data'!A84="",'Session Training Data'!AF84=""),0,IF(COUNTIFS('Sessions'!$A$5:$A$204,'Session Training Data'!A84,'Sessions'!$B$5:$B$204,'Session Training Data'!AF84)=0,1,0))</x:f>
        <x:v>0</x:v>
      </x:c>
      <x:c r="O88" s="112" t="n">
        <x:f>IF('Session Training Data'!AF84="",0,IF(COUNTIFS('Participants'!$A$5:$A$204,'Session Training Data'!AF84,'Participants'!$D$5:$D$204,"yes")=0,1,0))</x:f>
        <x:v>0</x:v>
      </x:c>
      <x:c r="P88" s="112" t="n">
        <x:f>IF('Session Training Data'!AF84="",0,IF(COUNTIF('Session Training Data'!$AF$5:AF84,'Session Training Data'!AF84)=1,1,0))</x:f>
        <x:v>0</x:v>
      </x:c>
      <x:c r="Q88" s="112" t="n">
        <x:f>IF('Participants'!A84="",0,IF(COUNTIF('Participants'!$A$5:$A$204,'Participants'!A84)&gt;1,1,0))</x:f>
        <x:v>0</x:v>
      </x:c>
      <x:c r="R88" s="112" t="n">
        <x:f>IF('Sessions'!A84="",0,IF(COUNTIF('Sessions'!$A$5:$A$204,'Sessions'!A84)&gt;1,1,0))</x:f>
        <x:v>0</x:v>
      </x:c>
      <x:c r="S88" s="112" t="n">
        <x:f>IF('Attempts'!A84="",0,IF(COUNTIF('Attempts'!$A$5:$A$204,'Attempts'!A84)&gt;1,1,0))</x:f>
        <x:v>0</x:v>
      </x:c>
      <x:c r="T88" s="112" t="n">
        <x:f>IF('Session Training Data'!A84="",0,IF(COUNTIF('Session Training Data'!$A$5:$A$204,'Session Training Data'!A84)&gt;1,1,0))</x:f>
        <x:v>0</x:v>
      </x:c>
    </x:row>
    <x:row r="89">
      <x:c r="G89" s="112" t="n">
        <x:f>IF('Sessions'!B85="",0,IF(COUNTIF('Participants'!$A$5:$A$204,'Sessions'!B85)=0,1,0))</x:f>
        <x:v>0</x:v>
      </x:c>
      <x:c r="H89" s="112" t="n">
        <x:f>IF('Attempts'!B85="",0,IF(COUNTIF('Sessions'!$A$5:$A$204,'Attempts'!B85)=0,1,0))</x:f>
        <x:v>0</x:v>
      </x:c>
      <x:c r="I89" s="112" t="n">
        <x:f>IF('Sessions'!A85="",0,IF(COUNTIF('Expert Labels'!$B$5:$B$204,'Sessions'!A85)=0,1,0))</x:f>
        <x:v>0</x:v>
      </x:c>
      <x:c r="J89" s="112" t="n">
        <x:f>IF('Expert Labels'!B85="",0,IF(COUNTIF('Expert Labels'!$B$5:$B$204,'Expert Labels'!B85)&gt;1,1,0))</x:f>
        <x:v>0</x:v>
      </x:c>
      <x:c r="K89" s="112" t="n">
        <x:f>IF('Expert Labels'!B85="",0,IF(COUNTIF('Sessions'!$A$5:$A$204,'Expert Labels'!B85)=0,1,0))</x:f>
        <x:v>0</x:v>
      </x:c>
      <x:c r="L89" s="112" t="n">
        <x:f>IF('Session Training Data'!A85="",0,IF(COUNTIF('Sessions'!$A$5:$A$204,'Session Training Data'!A85)=0,1,0))</x:f>
        <x:v>0</x:v>
      </x:c>
      <x:c r="M89" s="112" t="n">
        <x:f>IF('Session Training Data'!AF85="",0,IF(COUNTIF('Participants'!$A$5:$A$204,'Session Training Data'!AF85)=0,1,0))</x:f>
        <x:v>0</x:v>
      </x:c>
      <x:c r="N89" s="112" t="n">
        <x:f>IF(OR('Session Training Data'!A85="",'Session Training Data'!AF85=""),0,IF(COUNTIFS('Sessions'!$A$5:$A$204,'Session Training Data'!A85,'Sessions'!$B$5:$B$204,'Session Training Data'!AF85)=0,1,0))</x:f>
        <x:v>0</x:v>
      </x:c>
      <x:c r="O89" s="112" t="n">
        <x:f>IF('Session Training Data'!AF85="",0,IF(COUNTIFS('Participants'!$A$5:$A$204,'Session Training Data'!AF85,'Participants'!$D$5:$D$204,"yes")=0,1,0))</x:f>
        <x:v>0</x:v>
      </x:c>
      <x:c r="P89" s="112" t="n">
        <x:f>IF('Session Training Data'!AF85="",0,IF(COUNTIF('Session Training Data'!$AF$5:AF85,'Session Training Data'!AF85)=1,1,0))</x:f>
        <x:v>0</x:v>
      </x:c>
      <x:c r="Q89" s="112" t="n">
        <x:f>IF('Participants'!A85="",0,IF(COUNTIF('Participants'!$A$5:$A$204,'Participants'!A85)&gt;1,1,0))</x:f>
        <x:v>0</x:v>
      </x:c>
      <x:c r="R89" s="112" t="n">
        <x:f>IF('Sessions'!A85="",0,IF(COUNTIF('Sessions'!$A$5:$A$204,'Sessions'!A85)&gt;1,1,0))</x:f>
        <x:v>0</x:v>
      </x:c>
      <x:c r="S89" s="112" t="n">
        <x:f>IF('Attempts'!A85="",0,IF(COUNTIF('Attempts'!$A$5:$A$204,'Attempts'!A85)&gt;1,1,0))</x:f>
        <x:v>0</x:v>
      </x:c>
      <x:c r="T89" s="112" t="n">
        <x:f>IF('Session Training Data'!A85="",0,IF(COUNTIF('Session Training Data'!$A$5:$A$204,'Session Training Data'!A85)&gt;1,1,0))</x:f>
        <x:v>0</x:v>
      </x:c>
    </x:row>
    <x:row r="90">
      <x:c r="G90" s="112" t="n">
        <x:f>IF('Sessions'!B86="",0,IF(COUNTIF('Participants'!$A$5:$A$204,'Sessions'!B86)=0,1,0))</x:f>
        <x:v>0</x:v>
      </x:c>
      <x:c r="H90" s="112" t="n">
        <x:f>IF('Attempts'!B86="",0,IF(COUNTIF('Sessions'!$A$5:$A$204,'Attempts'!B86)=0,1,0))</x:f>
        <x:v>0</x:v>
      </x:c>
      <x:c r="I90" s="112" t="n">
        <x:f>IF('Sessions'!A86="",0,IF(COUNTIF('Expert Labels'!$B$5:$B$204,'Sessions'!A86)=0,1,0))</x:f>
        <x:v>0</x:v>
      </x:c>
      <x:c r="J90" s="112" t="n">
        <x:f>IF('Expert Labels'!B86="",0,IF(COUNTIF('Expert Labels'!$B$5:$B$204,'Expert Labels'!B86)&gt;1,1,0))</x:f>
        <x:v>0</x:v>
      </x:c>
      <x:c r="K90" s="112" t="n">
        <x:f>IF('Expert Labels'!B86="",0,IF(COUNTIF('Sessions'!$A$5:$A$204,'Expert Labels'!B86)=0,1,0))</x:f>
        <x:v>0</x:v>
      </x:c>
      <x:c r="L90" s="112" t="n">
        <x:f>IF('Session Training Data'!A86="",0,IF(COUNTIF('Sessions'!$A$5:$A$204,'Session Training Data'!A86)=0,1,0))</x:f>
        <x:v>0</x:v>
      </x:c>
      <x:c r="M90" s="112" t="n">
        <x:f>IF('Session Training Data'!AF86="",0,IF(COUNTIF('Participants'!$A$5:$A$204,'Session Training Data'!AF86)=0,1,0))</x:f>
        <x:v>0</x:v>
      </x:c>
      <x:c r="N90" s="112" t="n">
        <x:f>IF(OR('Session Training Data'!A86="",'Session Training Data'!AF86=""),0,IF(COUNTIFS('Sessions'!$A$5:$A$204,'Session Training Data'!A86,'Sessions'!$B$5:$B$204,'Session Training Data'!AF86)=0,1,0))</x:f>
        <x:v>0</x:v>
      </x:c>
      <x:c r="O90" s="112" t="n">
        <x:f>IF('Session Training Data'!AF86="",0,IF(COUNTIFS('Participants'!$A$5:$A$204,'Session Training Data'!AF86,'Participants'!$D$5:$D$204,"yes")=0,1,0))</x:f>
        <x:v>0</x:v>
      </x:c>
      <x:c r="P90" s="112" t="n">
        <x:f>IF('Session Training Data'!AF86="",0,IF(COUNTIF('Session Training Data'!$AF$5:AF86,'Session Training Data'!AF86)=1,1,0))</x:f>
        <x:v>0</x:v>
      </x:c>
      <x:c r="Q90" s="112" t="n">
        <x:f>IF('Participants'!A86="",0,IF(COUNTIF('Participants'!$A$5:$A$204,'Participants'!A86)&gt;1,1,0))</x:f>
        <x:v>0</x:v>
      </x:c>
      <x:c r="R90" s="112" t="n">
        <x:f>IF('Sessions'!A86="",0,IF(COUNTIF('Sessions'!$A$5:$A$204,'Sessions'!A86)&gt;1,1,0))</x:f>
        <x:v>0</x:v>
      </x:c>
      <x:c r="S90" s="112" t="n">
        <x:f>IF('Attempts'!A86="",0,IF(COUNTIF('Attempts'!$A$5:$A$204,'Attempts'!A86)&gt;1,1,0))</x:f>
        <x:v>0</x:v>
      </x:c>
      <x:c r="T90" s="112" t="n">
        <x:f>IF('Session Training Data'!A86="",0,IF(COUNTIF('Session Training Data'!$A$5:$A$204,'Session Training Data'!A86)&gt;1,1,0))</x:f>
        <x:v>0</x:v>
      </x:c>
    </x:row>
    <x:row r="91">
      <x:c r="G91" s="112" t="n">
        <x:f>IF('Sessions'!B87="",0,IF(COUNTIF('Participants'!$A$5:$A$204,'Sessions'!B87)=0,1,0))</x:f>
        <x:v>0</x:v>
      </x:c>
      <x:c r="H91" s="112" t="n">
        <x:f>IF('Attempts'!B87="",0,IF(COUNTIF('Sessions'!$A$5:$A$204,'Attempts'!B87)=0,1,0))</x:f>
        <x:v>0</x:v>
      </x:c>
      <x:c r="I91" s="112" t="n">
        <x:f>IF('Sessions'!A87="",0,IF(COUNTIF('Expert Labels'!$B$5:$B$204,'Sessions'!A87)=0,1,0))</x:f>
        <x:v>0</x:v>
      </x:c>
      <x:c r="J91" s="112" t="n">
        <x:f>IF('Expert Labels'!B87="",0,IF(COUNTIF('Expert Labels'!$B$5:$B$204,'Expert Labels'!B87)&gt;1,1,0))</x:f>
        <x:v>0</x:v>
      </x:c>
      <x:c r="K91" s="112" t="n">
        <x:f>IF('Expert Labels'!B87="",0,IF(COUNTIF('Sessions'!$A$5:$A$204,'Expert Labels'!B87)=0,1,0))</x:f>
        <x:v>0</x:v>
      </x:c>
      <x:c r="L91" s="112" t="n">
        <x:f>IF('Session Training Data'!A87="",0,IF(COUNTIF('Sessions'!$A$5:$A$204,'Session Training Data'!A87)=0,1,0))</x:f>
        <x:v>0</x:v>
      </x:c>
      <x:c r="M91" s="112" t="n">
        <x:f>IF('Session Training Data'!AF87="",0,IF(COUNTIF('Participants'!$A$5:$A$204,'Session Training Data'!AF87)=0,1,0))</x:f>
        <x:v>0</x:v>
      </x:c>
      <x:c r="N91" s="112" t="n">
        <x:f>IF(OR('Session Training Data'!A87="",'Session Training Data'!AF87=""),0,IF(COUNTIFS('Sessions'!$A$5:$A$204,'Session Training Data'!A87,'Sessions'!$B$5:$B$204,'Session Training Data'!AF87)=0,1,0))</x:f>
        <x:v>0</x:v>
      </x:c>
      <x:c r="O91" s="112" t="n">
        <x:f>IF('Session Training Data'!AF87="",0,IF(COUNTIFS('Participants'!$A$5:$A$204,'Session Training Data'!AF87,'Participants'!$D$5:$D$204,"yes")=0,1,0))</x:f>
        <x:v>0</x:v>
      </x:c>
      <x:c r="P91" s="112" t="n">
        <x:f>IF('Session Training Data'!AF87="",0,IF(COUNTIF('Session Training Data'!$AF$5:AF87,'Session Training Data'!AF87)=1,1,0))</x:f>
        <x:v>0</x:v>
      </x:c>
      <x:c r="Q91" s="112" t="n">
        <x:f>IF('Participants'!A87="",0,IF(COUNTIF('Participants'!$A$5:$A$204,'Participants'!A87)&gt;1,1,0))</x:f>
        <x:v>0</x:v>
      </x:c>
      <x:c r="R91" s="112" t="n">
        <x:f>IF('Sessions'!A87="",0,IF(COUNTIF('Sessions'!$A$5:$A$204,'Sessions'!A87)&gt;1,1,0))</x:f>
        <x:v>0</x:v>
      </x:c>
      <x:c r="S91" s="112" t="n">
        <x:f>IF('Attempts'!A87="",0,IF(COUNTIF('Attempts'!$A$5:$A$204,'Attempts'!A87)&gt;1,1,0))</x:f>
        <x:v>0</x:v>
      </x:c>
      <x:c r="T91" s="112" t="n">
        <x:f>IF('Session Training Data'!A87="",0,IF(COUNTIF('Session Training Data'!$A$5:$A$204,'Session Training Data'!A87)&gt;1,1,0))</x:f>
        <x:v>0</x:v>
      </x:c>
    </x:row>
    <x:row r="92">
      <x:c r="G92" s="112" t="n">
        <x:f>IF('Sessions'!B88="",0,IF(COUNTIF('Participants'!$A$5:$A$204,'Sessions'!B88)=0,1,0))</x:f>
        <x:v>0</x:v>
      </x:c>
      <x:c r="H92" s="112" t="n">
        <x:f>IF('Attempts'!B88="",0,IF(COUNTIF('Sessions'!$A$5:$A$204,'Attempts'!B88)=0,1,0))</x:f>
        <x:v>0</x:v>
      </x:c>
      <x:c r="I92" s="112" t="n">
        <x:f>IF('Sessions'!A88="",0,IF(COUNTIF('Expert Labels'!$B$5:$B$204,'Sessions'!A88)=0,1,0))</x:f>
        <x:v>0</x:v>
      </x:c>
      <x:c r="J92" s="112" t="n">
        <x:f>IF('Expert Labels'!B88="",0,IF(COUNTIF('Expert Labels'!$B$5:$B$204,'Expert Labels'!B88)&gt;1,1,0))</x:f>
        <x:v>0</x:v>
      </x:c>
      <x:c r="K92" s="112" t="n">
        <x:f>IF('Expert Labels'!B88="",0,IF(COUNTIF('Sessions'!$A$5:$A$204,'Expert Labels'!B88)=0,1,0))</x:f>
        <x:v>0</x:v>
      </x:c>
      <x:c r="L92" s="112" t="n">
        <x:f>IF('Session Training Data'!A88="",0,IF(COUNTIF('Sessions'!$A$5:$A$204,'Session Training Data'!A88)=0,1,0))</x:f>
        <x:v>0</x:v>
      </x:c>
      <x:c r="M92" s="112" t="n">
        <x:f>IF('Session Training Data'!AF88="",0,IF(COUNTIF('Participants'!$A$5:$A$204,'Session Training Data'!AF88)=0,1,0))</x:f>
        <x:v>0</x:v>
      </x:c>
      <x:c r="N92" s="112" t="n">
        <x:f>IF(OR('Session Training Data'!A88="",'Session Training Data'!AF88=""),0,IF(COUNTIFS('Sessions'!$A$5:$A$204,'Session Training Data'!A88,'Sessions'!$B$5:$B$204,'Session Training Data'!AF88)=0,1,0))</x:f>
        <x:v>0</x:v>
      </x:c>
      <x:c r="O92" s="112" t="n">
        <x:f>IF('Session Training Data'!AF88="",0,IF(COUNTIFS('Participants'!$A$5:$A$204,'Session Training Data'!AF88,'Participants'!$D$5:$D$204,"yes")=0,1,0))</x:f>
        <x:v>0</x:v>
      </x:c>
      <x:c r="P92" s="112" t="n">
        <x:f>IF('Session Training Data'!AF88="",0,IF(COUNTIF('Session Training Data'!$AF$5:AF88,'Session Training Data'!AF88)=1,1,0))</x:f>
        <x:v>0</x:v>
      </x:c>
      <x:c r="Q92" s="112" t="n">
        <x:f>IF('Participants'!A88="",0,IF(COUNTIF('Participants'!$A$5:$A$204,'Participants'!A88)&gt;1,1,0))</x:f>
        <x:v>0</x:v>
      </x:c>
      <x:c r="R92" s="112" t="n">
        <x:f>IF('Sessions'!A88="",0,IF(COUNTIF('Sessions'!$A$5:$A$204,'Sessions'!A88)&gt;1,1,0))</x:f>
        <x:v>0</x:v>
      </x:c>
      <x:c r="S92" s="112" t="n">
        <x:f>IF('Attempts'!A88="",0,IF(COUNTIF('Attempts'!$A$5:$A$204,'Attempts'!A88)&gt;1,1,0))</x:f>
        <x:v>0</x:v>
      </x:c>
      <x:c r="T92" s="112" t="n">
        <x:f>IF('Session Training Data'!A88="",0,IF(COUNTIF('Session Training Data'!$A$5:$A$204,'Session Training Data'!A88)&gt;1,1,0))</x:f>
        <x:v>0</x:v>
      </x:c>
    </x:row>
    <x:row r="93">
      <x:c r="G93" s="112" t="n">
        <x:f>IF('Sessions'!B89="",0,IF(COUNTIF('Participants'!$A$5:$A$204,'Sessions'!B89)=0,1,0))</x:f>
        <x:v>0</x:v>
      </x:c>
      <x:c r="H93" s="112" t="n">
        <x:f>IF('Attempts'!B89="",0,IF(COUNTIF('Sessions'!$A$5:$A$204,'Attempts'!B89)=0,1,0))</x:f>
        <x:v>0</x:v>
      </x:c>
      <x:c r="I93" s="112" t="n">
        <x:f>IF('Sessions'!A89="",0,IF(COUNTIF('Expert Labels'!$B$5:$B$204,'Sessions'!A89)=0,1,0))</x:f>
        <x:v>0</x:v>
      </x:c>
      <x:c r="J93" s="112" t="n">
        <x:f>IF('Expert Labels'!B89="",0,IF(COUNTIF('Expert Labels'!$B$5:$B$204,'Expert Labels'!B89)&gt;1,1,0))</x:f>
        <x:v>0</x:v>
      </x:c>
      <x:c r="K93" s="112" t="n">
        <x:f>IF('Expert Labels'!B89="",0,IF(COUNTIF('Sessions'!$A$5:$A$204,'Expert Labels'!B89)=0,1,0))</x:f>
        <x:v>0</x:v>
      </x:c>
      <x:c r="L93" s="112" t="n">
        <x:f>IF('Session Training Data'!A89="",0,IF(COUNTIF('Sessions'!$A$5:$A$204,'Session Training Data'!A89)=0,1,0))</x:f>
        <x:v>0</x:v>
      </x:c>
      <x:c r="M93" s="112" t="n">
        <x:f>IF('Session Training Data'!AF89="",0,IF(COUNTIF('Participants'!$A$5:$A$204,'Session Training Data'!AF89)=0,1,0))</x:f>
        <x:v>0</x:v>
      </x:c>
      <x:c r="N93" s="112" t="n">
        <x:f>IF(OR('Session Training Data'!A89="",'Session Training Data'!AF89=""),0,IF(COUNTIFS('Sessions'!$A$5:$A$204,'Session Training Data'!A89,'Sessions'!$B$5:$B$204,'Session Training Data'!AF89)=0,1,0))</x:f>
        <x:v>0</x:v>
      </x:c>
      <x:c r="O93" s="112" t="n">
        <x:f>IF('Session Training Data'!AF89="",0,IF(COUNTIFS('Participants'!$A$5:$A$204,'Session Training Data'!AF89,'Participants'!$D$5:$D$204,"yes")=0,1,0))</x:f>
        <x:v>0</x:v>
      </x:c>
      <x:c r="P93" s="112" t="n">
        <x:f>IF('Session Training Data'!AF89="",0,IF(COUNTIF('Session Training Data'!$AF$5:AF89,'Session Training Data'!AF89)=1,1,0))</x:f>
        <x:v>0</x:v>
      </x:c>
      <x:c r="Q93" s="112" t="n">
        <x:f>IF('Participants'!A89="",0,IF(COUNTIF('Participants'!$A$5:$A$204,'Participants'!A89)&gt;1,1,0))</x:f>
        <x:v>0</x:v>
      </x:c>
      <x:c r="R93" s="112" t="n">
        <x:f>IF('Sessions'!A89="",0,IF(COUNTIF('Sessions'!$A$5:$A$204,'Sessions'!A89)&gt;1,1,0))</x:f>
        <x:v>0</x:v>
      </x:c>
      <x:c r="S93" s="112" t="n">
        <x:f>IF('Attempts'!A89="",0,IF(COUNTIF('Attempts'!$A$5:$A$204,'Attempts'!A89)&gt;1,1,0))</x:f>
        <x:v>0</x:v>
      </x:c>
      <x:c r="T93" s="112" t="n">
        <x:f>IF('Session Training Data'!A89="",0,IF(COUNTIF('Session Training Data'!$A$5:$A$204,'Session Training Data'!A89)&gt;1,1,0))</x:f>
        <x:v>0</x:v>
      </x:c>
    </x:row>
    <x:row r="94">
      <x:c r="G94" s="112" t="n">
        <x:f>IF('Sessions'!B90="",0,IF(COUNTIF('Participants'!$A$5:$A$204,'Sessions'!B90)=0,1,0))</x:f>
        <x:v>0</x:v>
      </x:c>
      <x:c r="H94" s="112" t="n">
        <x:f>IF('Attempts'!B90="",0,IF(COUNTIF('Sessions'!$A$5:$A$204,'Attempts'!B90)=0,1,0))</x:f>
        <x:v>0</x:v>
      </x:c>
      <x:c r="I94" s="112" t="n">
        <x:f>IF('Sessions'!A90="",0,IF(COUNTIF('Expert Labels'!$B$5:$B$204,'Sessions'!A90)=0,1,0))</x:f>
        <x:v>0</x:v>
      </x:c>
      <x:c r="J94" s="112" t="n">
        <x:f>IF('Expert Labels'!B90="",0,IF(COUNTIF('Expert Labels'!$B$5:$B$204,'Expert Labels'!B90)&gt;1,1,0))</x:f>
        <x:v>0</x:v>
      </x:c>
      <x:c r="K94" s="112" t="n">
        <x:f>IF('Expert Labels'!B90="",0,IF(COUNTIF('Sessions'!$A$5:$A$204,'Expert Labels'!B90)=0,1,0))</x:f>
        <x:v>0</x:v>
      </x:c>
      <x:c r="L94" s="112" t="n">
        <x:f>IF('Session Training Data'!A90="",0,IF(COUNTIF('Sessions'!$A$5:$A$204,'Session Training Data'!A90)=0,1,0))</x:f>
        <x:v>0</x:v>
      </x:c>
      <x:c r="M94" s="112" t="n">
        <x:f>IF('Session Training Data'!AF90="",0,IF(COUNTIF('Participants'!$A$5:$A$204,'Session Training Data'!AF90)=0,1,0))</x:f>
        <x:v>0</x:v>
      </x:c>
      <x:c r="N94" s="112" t="n">
        <x:f>IF(OR('Session Training Data'!A90="",'Session Training Data'!AF90=""),0,IF(COUNTIFS('Sessions'!$A$5:$A$204,'Session Training Data'!A90,'Sessions'!$B$5:$B$204,'Session Training Data'!AF90)=0,1,0))</x:f>
        <x:v>0</x:v>
      </x:c>
      <x:c r="O94" s="112" t="n">
        <x:f>IF('Session Training Data'!AF90="",0,IF(COUNTIFS('Participants'!$A$5:$A$204,'Session Training Data'!AF90,'Participants'!$D$5:$D$204,"yes")=0,1,0))</x:f>
        <x:v>0</x:v>
      </x:c>
      <x:c r="P94" s="112" t="n">
        <x:f>IF('Session Training Data'!AF90="",0,IF(COUNTIF('Session Training Data'!$AF$5:AF90,'Session Training Data'!AF90)=1,1,0))</x:f>
        <x:v>0</x:v>
      </x:c>
      <x:c r="Q94" s="112" t="n">
        <x:f>IF('Participants'!A90="",0,IF(COUNTIF('Participants'!$A$5:$A$204,'Participants'!A90)&gt;1,1,0))</x:f>
        <x:v>0</x:v>
      </x:c>
      <x:c r="R94" s="112" t="n">
        <x:f>IF('Sessions'!A90="",0,IF(COUNTIF('Sessions'!$A$5:$A$204,'Sessions'!A90)&gt;1,1,0))</x:f>
        <x:v>0</x:v>
      </x:c>
      <x:c r="S94" s="112" t="n">
        <x:f>IF('Attempts'!A90="",0,IF(COUNTIF('Attempts'!$A$5:$A$204,'Attempts'!A90)&gt;1,1,0))</x:f>
        <x:v>0</x:v>
      </x:c>
      <x:c r="T94" s="112" t="n">
        <x:f>IF('Session Training Data'!A90="",0,IF(COUNTIF('Session Training Data'!$A$5:$A$204,'Session Training Data'!A90)&gt;1,1,0))</x:f>
        <x:v>0</x:v>
      </x:c>
    </x:row>
    <x:row r="95">
      <x:c r="G95" s="112" t="n">
        <x:f>IF('Sessions'!B91="",0,IF(COUNTIF('Participants'!$A$5:$A$204,'Sessions'!B91)=0,1,0))</x:f>
        <x:v>0</x:v>
      </x:c>
      <x:c r="H95" s="112" t="n">
        <x:f>IF('Attempts'!B91="",0,IF(COUNTIF('Sessions'!$A$5:$A$204,'Attempts'!B91)=0,1,0))</x:f>
        <x:v>0</x:v>
      </x:c>
      <x:c r="I95" s="112" t="n">
        <x:f>IF('Sessions'!A91="",0,IF(COUNTIF('Expert Labels'!$B$5:$B$204,'Sessions'!A91)=0,1,0))</x:f>
        <x:v>0</x:v>
      </x:c>
      <x:c r="J95" s="112" t="n">
        <x:f>IF('Expert Labels'!B91="",0,IF(COUNTIF('Expert Labels'!$B$5:$B$204,'Expert Labels'!B91)&gt;1,1,0))</x:f>
        <x:v>0</x:v>
      </x:c>
      <x:c r="K95" s="112" t="n">
        <x:f>IF('Expert Labels'!B91="",0,IF(COUNTIF('Sessions'!$A$5:$A$204,'Expert Labels'!B91)=0,1,0))</x:f>
        <x:v>0</x:v>
      </x:c>
      <x:c r="L95" s="112" t="n">
        <x:f>IF('Session Training Data'!A91="",0,IF(COUNTIF('Sessions'!$A$5:$A$204,'Session Training Data'!A91)=0,1,0))</x:f>
        <x:v>0</x:v>
      </x:c>
      <x:c r="M95" s="112" t="n">
        <x:f>IF('Session Training Data'!AF91="",0,IF(COUNTIF('Participants'!$A$5:$A$204,'Session Training Data'!AF91)=0,1,0))</x:f>
        <x:v>0</x:v>
      </x:c>
      <x:c r="N95" s="112" t="n">
        <x:f>IF(OR('Session Training Data'!A91="",'Session Training Data'!AF91=""),0,IF(COUNTIFS('Sessions'!$A$5:$A$204,'Session Training Data'!A91,'Sessions'!$B$5:$B$204,'Session Training Data'!AF91)=0,1,0))</x:f>
        <x:v>0</x:v>
      </x:c>
      <x:c r="O95" s="112" t="n">
        <x:f>IF('Session Training Data'!AF91="",0,IF(COUNTIFS('Participants'!$A$5:$A$204,'Session Training Data'!AF91,'Participants'!$D$5:$D$204,"yes")=0,1,0))</x:f>
        <x:v>0</x:v>
      </x:c>
      <x:c r="P95" s="112" t="n">
        <x:f>IF('Session Training Data'!AF91="",0,IF(COUNTIF('Session Training Data'!$AF$5:AF91,'Session Training Data'!AF91)=1,1,0))</x:f>
        <x:v>0</x:v>
      </x:c>
      <x:c r="Q95" s="112" t="n">
        <x:f>IF('Participants'!A91="",0,IF(COUNTIF('Participants'!$A$5:$A$204,'Participants'!A91)&gt;1,1,0))</x:f>
        <x:v>0</x:v>
      </x:c>
      <x:c r="R95" s="112" t="n">
        <x:f>IF('Sessions'!A91="",0,IF(COUNTIF('Sessions'!$A$5:$A$204,'Sessions'!A91)&gt;1,1,0))</x:f>
        <x:v>0</x:v>
      </x:c>
      <x:c r="S95" s="112" t="n">
        <x:f>IF('Attempts'!A91="",0,IF(COUNTIF('Attempts'!$A$5:$A$204,'Attempts'!A91)&gt;1,1,0))</x:f>
        <x:v>0</x:v>
      </x:c>
      <x:c r="T95" s="112" t="n">
        <x:f>IF('Session Training Data'!A91="",0,IF(COUNTIF('Session Training Data'!$A$5:$A$204,'Session Training Data'!A91)&gt;1,1,0))</x:f>
        <x:v>0</x:v>
      </x:c>
    </x:row>
    <x:row r="96">
      <x:c r="G96" s="112" t="n">
        <x:f>IF('Sessions'!B92="",0,IF(COUNTIF('Participants'!$A$5:$A$204,'Sessions'!B92)=0,1,0))</x:f>
        <x:v>0</x:v>
      </x:c>
      <x:c r="H96" s="112" t="n">
        <x:f>IF('Attempts'!B92="",0,IF(COUNTIF('Sessions'!$A$5:$A$204,'Attempts'!B92)=0,1,0))</x:f>
        <x:v>0</x:v>
      </x:c>
      <x:c r="I96" s="112" t="n">
        <x:f>IF('Sessions'!A92="",0,IF(COUNTIF('Expert Labels'!$B$5:$B$204,'Sessions'!A92)=0,1,0))</x:f>
        <x:v>0</x:v>
      </x:c>
      <x:c r="J96" s="112" t="n">
        <x:f>IF('Expert Labels'!B92="",0,IF(COUNTIF('Expert Labels'!$B$5:$B$204,'Expert Labels'!B92)&gt;1,1,0))</x:f>
        <x:v>0</x:v>
      </x:c>
      <x:c r="K96" s="112" t="n">
        <x:f>IF('Expert Labels'!B92="",0,IF(COUNTIF('Sessions'!$A$5:$A$204,'Expert Labels'!B92)=0,1,0))</x:f>
        <x:v>0</x:v>
      </x:c>
      <x:c r="L96" s="112" t="n">
        <x:f>IF('Session Training Data'!A92="",0,IF(COUNTIF('Sessions'!$A$5:$A$204,'Session Training Data'!A92)=0,1,0))</x:f>
        <x:v>0</x:v>
      </x:c>
      <x:c r="M96" s="112" t="n">
        <x:f>IF('Session Training Data'!AF92="",0,IF(COUNTIF('Participants'!$A$5:$A$204,'Session Training Data'!AF92)=0,1,0))</x:f>
        <x:v>0</x:v>
      </x:c>
      <x:c r="N96" s="112" t="n">
        <x:f>IF(OR('Session Training Data'!A92="",'Session Training Data'!AF92=""),0,IF(COUNTIFS('Sessions'!$A$5:$A$204,'Session Training Data'!A92,'Sessions'!$B$5:$B$204,'Session Training Data'!AF92)=0,1,0))</x:f>
        <x:v>0</x:v>
      </x:c>
      <x:c r="O96" s="112" t="n">
        <x:f>IF('Session Training Data'!AF92="",0,IF(COUNTIFS('Participants'!$A$5:$A$204,'Session Training Data'!AF92,'Participants'!$D$5:$D$204,"yes")=0,1,0))</x:f>
        <x:v>0</x:v>
      </x:c>
      <x:c r="P96" s="112" t="n">
        <x:f>IF('Session Training Data'!AF92="",0,IF(COUNTIF('Session Training Data'!$AF$5:AF92,'Session Training Data'!AF92)=1,1,0))</x:f>
        <x:v>0</x:v>
      </x:c>
      <x:c r="Q96" s="112" t="n">
        <x:f>IF('Participants'!A92="",0,IF(COUNTIF('Participants'!$A$5:$A$204,'Participants'!A92)&gt;1,1,0))</x:f>
        <x:v>0</x:v>
      </x:c>
      <x:c r="R96" s="112" t="n">
        <x:f>IF('Sessions'!A92="",0,IF(COUNTIF('Sessions'!$A$5:$A$204,'Sessions'!A92)&gt;1,1,0))</x:f>
        <x:v>0</x:v>
      </x:c>
      <x:c r="S96" s="112" t="n">
        <x:f>IF('Attempts'!A92="",0,IF(COUNTIF('Attempts'!$A$5:$A$204,'Attempts'!A92)&gt;1,1,0))</x:f>
        <x:v>0</x:v>
      </x:c>
      <x:c r="T96" s="112" t="n">
        <x:f>IF('Session Training Data'!A92="",0,IF(COUNTIF('Session Training Data'!$A$5:$A$204,'Session Training Data'!A92)&gt;1,1,0))</x:f>
        <x:v>0</x:v>
      </x:c>
    </x:row>
    <x:row r="97">
      <x:c r="G97" s="112" t="n">
        <x:f>IF('Sessions'!B93="",0,IF(COUNTIF('Participants'!$A$5:$A$204,'Sessions'!B93)=0,1,0))</x:f>
        <x:v>0</x:v>
      </x:c>
      <x:c r="H97" s="112" t="n">
        <x:f>IF('Attempts'!B93="",0,IF(COUNTIF('Sessions'!$A$5:$A$204,'Attempts'!B93)=0,1,0))</x:f>
        <x:v>0</x:v>
      </x:c>
      <x:c r="I97" s="112" t="n">
        <x:f>IF('Sessions'!A93="",0,IF(COUNTIF('Expert Labels'!$B$5:$B$204,'Sessions'!A93)=0,1,0))</x:f>
        <x:v>0</x:v>
      </x:c>
      <x:c r="J97" s="112" t="n">
        <x:f>IF('Expert Labels'!B93="",0,IF(COUNTIF('Expert Labels'!$B$5:$B$204,'Expert Labels'!B93)&gt;1,1,0))</x:f>
        <x:v>0</x:v>
      </x:c>
      <x:c r="K97" s="112" t="n">
        <x:f>IF('Expert Labels'!B93="",0,IF(COUNTIF('Sessions'!$A$5:$A$204,'Expert Labels'!B93)=0,1,0))</x:f>
        <x:v>0</x:v>
      </x:c>
      <x:c r="L97" s="112" t="n">
        <x:f>IF('Session Training Data'!A93="",0,IF(COUNTIF('Sessions'!$A$5:$A$204,'Session Training Data'!A93)=0,1,0))</x:f>
        <x:v>0</x:v>
      </x:c>
      <x:c r="M97" s="112" t="n">
        <x:f>IF('Session Training Data'!AF93="",0,IF(COUNTIF('Participants'!$A$5:$A$204,'Session Training Data'!AF93)=0,1,0))</x:f>
        <x:v>0</x:v>
      </x:c>
      <x:c r="N97" s="112" t="n">
        <x:f>IF(OR('Session Training Data'!A93="",'Session Training Data'!AF93=""),0,IF(COUNTIFS('Sessions'!$A$5:$A$204,'Session Training Data'!A93,'Sessions'!$B$5:$B$204,'Session Training Data'!AF93)=0,1,0))</x:f>
        <x:v>0</x:v>
      </x:c>
      <x:c r="O97" s="112" t="n">
        <x:f>IF('Session Training Data'!AF93="",0,IF(COUNTIFS('Participants'!$A$5:$A$204,'Session Training Data'!AF93,'Participants'!$D$5:$D$204,"yes")=0,1,0))</x:f>
        <x:v>0</x:v>
      </x:c>
      <x:c r="P97" s="112" t="n">
        <x:f>IF('Session Training Data'!AF93="",0,IF(COUNTIF('Session Training Data'!$AF$5:AF93,'Session Training Data'!AF93)=1,1,0))</x:f>
        <x:v>0</x:v>
      </x:c>
      <x:c r="Q97" s="112" t="n">
        <x:f>IF('Participants'!A93="",0,IF(COUNTIF('Participants'!$A$5:$A$204,'Participants'!A93)&gt;1,1,0))</x:f>
        <x:v>0</x:v>
      </x:c>
      <x:c r="R97" s="112" t="n">
        <x:f>IF('Sessions'!A93="",0,IF(COUNTIF('Sessions'!$A$5:$A$204,'Sessions'!A93)&gt;1,1,0))</x:f>
        <x:v>0</x:v>
      </x:c>
      <x:c r="S97" s="112" t="n">
        <x:f>IF('Attempts'!A93="",0,IF(COUNTIF('Attempts'!$A$5:$A$204,'Attempts'!A93)&gt;1,1,0))</x:f>
        <x:v>0</x:v>
      </x:c>
      <x:c r="T97" s="112" t="n">
        <x:f>IF('Session Training Data'!A93="",0,IF(COUNTIF('Session Training Data'!$A$5:$A$204,'Session Training Data'!A93)&gt;1,1,0))</x:f>
        <x:v>0</x:v>
      </x:c>
    </x:row>
    <x:row r="98">
      <x:c r="G98" s="112" t="n">
        <x:f>IF('Sessions'!B94="",0,IF(COUNTIF('Participants'!$A$5:$A$204,'Sessions'!B94)=0,1,0))</x:f>
        <x:v>0</x:v>
      </x:c>
      <x:c r="H98" s="112" t="n">
        <x:f>IF('Attempts'!B94="",0,IF(COUNTIF('Sessions'!$A$5:$A$204,'Attempts'!B94)=0,1,0))</x:f>
        <x:v>0</x:v>
      </x:c>
      <x:c r="I98" s="112" t="n">
        <x:f>IF('Sessions'!A94="",0,IF(COUNTIF('Expert Labels'!$B$5:$B$204,'Sessions'!A94)=0,1,0))</x:f>
        <x:v>0</x:v>
      </x:c>
      <x:c r="J98" s="112" t="n">
        <x:f>IF('Expert Labels'!B94="",0,IF(COUNTIF('Expert Labels'!$B$5:$B$204,'Expert Labels'!B94)&gt;1,1,0))</x:f>
        <x:v>0</x:v>
      </x:c>
      <x:c r="K98" s="112" t="n">
        <x:f>IF('Expert Labels'!B94="",0,IF(COUNTIF('Sessions'!$A$5:$A$204,'Expert Labels'!B94)=0,1,0))</x:f>
        <x:v>0</x:v>
      </x:c>
      <x:c r="L98" s="112" t="n">
        <x:f>IF('Session Training Data'!A94="",0,IF(COUNTIF('Sessions'!$A$5:$A$204,'Session Training Data'!A94)=0,1,0))</x:f>
        <x:v>0</x:v>
      </x:c>
      <x:c r="M98" s="112" t="n">
        <x:f>IF('Session Training Data'!AF94="",0,IF(COUNTIF('Participants'!$A$5:$A$204,'Session Training Data'!AF94)=0,1,0))</x:f>
        <x:v>0</x:v>
      </x:c>
      <x:c r="N98" s="112" t="n">
        <x:f>IF(OR('Session Training Data'!A94="",'Session Training Data'!AF94=""),0,IF(COUNTIFS('Sessions'!$A$5:$A$204,'Session Training Data'!A94,'Sessions'!$B$5:$B$204,'Session Training Data'!AF94)=0,1,0))</x:f>
        <x:v>0</x:v>
      </x:c>
      <x:c r="O98" s="112" t="n">
        <x:f>IF('Session Training Data'!AF94="",0,IF(COUNTIFS('Participants'!$A$5:$A$204,'Session Training Data'!AF94,'Participants'!$D$5:$D$204,"yes")=0,1,0))</x:f>
        <x:v>0</x:v>
      </x:c>
      <x:c r="P98" s="112" t="n">
        <x:f>IF('Session Training Data'!AF94="",0,IF(COUNTIF('Session Training Data'!$AF$5:AF94,'Session Training Data'!AF94)=1,1,0))</x:f>
        <x:v>0</x:v>
      </x:c>
      <x:c r="Q98" s="112" t="n">
        <x:f>IF('Participants'!A94="",0,IF(COUNTIF('Participants'!$A$5:$A$204,'Participants'!A94)&gt;1,1,0))</x:f>
        <x:v>0</x:v>
      </x:c>
      <x:c r="R98" s="112" t="n">
        <x:f>IF('Sessions'!A94="",0,IF(COUNTIF('Sessions'!$A$5:$A$204,'Sessions'!A94)&gt;1,1,0))</x:f>
        <x:v>0</x:v>
      </x:c>
      <x:c r="S98" s="112" t="n">
        <x:f>IF('Attempts'!A94="",0,IF(COUNTIF('Attempts'!$A$5:$A$204,'Attempts'!A94)&gt;1,1,0))</x:f>
        <x:v>0</x:v>
      </x:c>
      <x:c r="T98" s="112" t="n">
        <x:f>IF('Session Training Data'!A94="",0,IF(COUNTIF('Session Training Data'!$A$5:$A$204,'Session Training Data'!A94)&gt;1,1,0))</x:f>
        <x:v>0</x:v>
      </x:c>
    </x:row>
    <x:row r="99">
      <x:c r="G99" s="112" t="n">
        <x:f>IF('Sessions'!B95="",0,IF(COUNTIF('Participants'!$A$5:$A$204,'Sessions'!B95)=0,1,0))</x:f>
        <x:v>0</x:v>
      </x:c>
      <x:c r="H99" s="112" t="n">
        <x:f>IF('Attempts'!B95="",0,IF(COUNTIF('Sessions'!$A$5:$A$204,'Attempts'!B95)=0,1,0))</x:f>
        <x:v>0</x:v>
      </x:c>
      <x:c r="I99" s="112" t="n">
        <x:f>IF('Sessions'!A95="",0,IF(COUNTIF('Expert Labels'!$B$5:$B$204,'Sessions'!A95)=0,1,0))</x:f>
        <x:v>0</x:v>
      </x:c>
      <x:c r="J99" s="112" t="n">
        <x:f>IF('Expert Labels'!B95="",0,IF(COUNTIF('Expert Labels'!$B$5:$B$204,'Expert Labels'!B95)&gt;1,1,0))</x:f>
        <x:v>0</x:v>
      </x:c>
      <x:c r="K99" s="112" t="n">
        <x:f>IF('Expert Labels'!B95="",0,IF(COUNTIF('Sessions'!$A$5:$A$204,'Expert Labels'!B95)=0,1,0))</x:f>
        <x:v>0</x:v>
      </x:c>
      <x:c r="L99" s="112" t="n">
        <x:f>IF('Session Training Data'!A95="",0,IF(COUNTIF('Sessions'!$A$5:$A$204,'Session Training Data'!A95)=0,1,0))</x:f>
        <x:v>0</x:v>
      </x:c>
      <x:c r="M99" s="112" t="n">
        <x:f>IF('Session Training Data'!AF95="",0,IF(COUNTIF('Participants'!$A$5:$A$204,'Session Training Data'!AF95)=0,1,0))</x:f>
        <x:v>0</x:v>
      </x:c>
      <x:c r="N99" s="112" t="n">
        <x:f>IF(OR('Session Training Data'!A95="",'Session Training Data'!AF95=""),0,IF(COUNTIFS('Sessions'!$A$5:$A$204,'Session Training Data'!A95,'Sessions'!$B$5:$B$204,'Session Training Data'!AF95)=0,1,0))</x:f>
        <x:v>0</x:v>
      </x:c>
      <x:c r="O99" s="112" t="n">
        <x:f>IF('Session Training Data'!AF95="",0,IF(COUNTIFS('Participants'!$A$5:$A$204,'Session Training Data'!AF95,'Participants'!$D$5:$D$204,"yes")=0,1,0))</x:f>
        <x:v>0</x:v>
      </x:c>
      <x:c r="P99" s="112" t="n">
        <x:f>IF('Session Training Data'!AF95="",0,IF(COUNTIF('Session Training Data'!$AF$5:AF95,'Session Training Data'!AF95)=1,1,0))</x:f>
        <x:v>0</x:v>
      </x:c>
      <x:c r="Q99" s="112" t="n">
        <x:f>IF('Participants'!A95="",0,IF(COUNTIF('Participants'!$A$5:$A$204,'Participants'!A95)&gt;1,1,0))</x:f>
        <x:v>0</x:v>
      </x:c>
      <x:c r="R99" s="112" t="n">
        <x:f>IF('Sessions'!A95="",0,IF(COUNTIF('Sessions'!$A$5:$A$204,'Sessions'!A95)&gt;1,1,0))</x:f>
        <x:v>0</x:v>
      </x:c>
      <x:c r="S99" s="112" t="n">
        <x:f>IF('Attempts'!A95="",0,IF(COUNTIF('Attempts'!$A$5:$A$204,'Attempts'!A95)&gt;1,1,0))</x:f>
        <x:v>0</x:v>
      </x:c>
      <x:c r="T99" s="112" t="n">
        <x:f>IF('Session Training Data'!A95="",0,IF(COUNTIF('Session Training Data'!$A$5:$A$204,'Session Training Data'!A95)&gt;1,1,0))</x:f>
        <x:v>0</x:v>
      </x:c>
    </x:row>
    <x:row r="100">
      <x:c r="G100" s="112" t="n">
        <x:f>IF('Sessions'!B96="",0,IF(COUNTIF('Participants'!$A$5:$A$204,'Sessions'!B96)=0,1,0))</x:f>
        <x:v>0</x:v>
      </x:c>
      <x:c r="H100" s="112" t="n">
        <x:f>IF('Attempts'!B96="",0,IF(COUNTIF('Sessions'!$A$5:$A$204,'Attempts'!B96)=0,1,0))</x:f>
        <x:v>0</x:v>
      </x:c>
      <x:c r="I100" s="112" t="n">
        <x:f>IF('Sessions'!A96="",0,IF(COUNTIF('Expert Labels'!$B$5:$B$204,'Sessions'!A96)=0,1,0))</x:f>
        <x:v>0</x:v>
      </x:c>
      <x:c r="J100" s="112" t="n">
        <x:f>IF('Expert Labels'!B96="",0,IF(COUNTIF('Expert Labels'!$B$5:$B$204,'Expert Labels'!B96)&gt;1,1,0))</x:f>
        <x:v>0</x:v>
      </x:c>
      <x:c r="K100" s="112" t="n">
        <x:f>IF('Expert Labels'!B96="",0,IF(COUNTIF('Sessions'!$A$5:$A$204,'Expert Labels'!B96)=0,1,0))</x:f>
        <x:v>0</x:v>
      </x:c>
      <x:c r="L100" s="112" t="n">
        <x:f>IF('Session Training Data'!A96="",0,IF(COUNTIF('Sessions'!$A$5:$A$204,'Session Training Data'!A96)=0,1,0))</x:f>
        <x:v>0</x:v>
      </x:c>
      <x:c r="M100" s="112" t="n">
        <x:f>IF('Session Training Data'!AF96="",0,IF(COUNTIF('Participants'!$A$5:$A$204,'Session Training Data'!AF96)=0,1,0))</x:f>
        <x:v>0</x:v>
      </x:c>
      <x:c r="N100" s="112" t="n">
        <x:f>IF(OR('Session Training Data'!A96="",'Session Training Data'!AF96=""),0,IF(COUNTIFS('Sessions'!$A$5:$A$204,'Session Training Data'!A96,'Sessions'!$B$5:$B$204,'Session Training Data'!AF96)=0,1,0))</x:f>
        <x:v>0</x:v>
      </x:c>
      <x:c r="O100" s="112" t="n">
        <x:f>IF('Session Training Data'!AF96="",0,IF(COUNTIFS('Participants'!$A$5:$A$204,'Session Training Data'!AF96,'Participants'!$D$5:$D$204,"yes")=0,1,0))</x:f>
        <x:v>0</x:v>
      </x:c>
      <x:c r="P100" s="112" t="n">
        <x:f>IF('Session Training Data'!AF96="",0,IF(COUNTIF('Session Training Data'!$AF$5:AF96,'Session Training Data'!AF96)=1,1,0))</x:f>
        <x:v>0</x:v>
      </x:c>
      <x:c r="Q100" s="112" t="n">
        <x:f>IF('Participants'!A96="",0,IF(COUNTIF('Participants'!$A$5:$A$204,'Participants'!A96)&gt;1,1,0))</x:f>
        <x:v>0</x:v>
      </x:c>
      <x:c r="R100" s="112" t="n">
        <x:f>IF('Sessions'!A96="",0,IF(COUNTIF('Sessions'!$A$5:$A$204,'Sessions'!A96)&gt;1,1,0))</x:f>
        <x:v>0</x:v>
      </x:c>
      <x:c r="S100" s="112" t="n">
        <x:f>IF('Attempts'!A96="",0,IF(COUNTIF('Attempts'!$A$5:$A$204,'Attempts'!A96)&gt;1,1,0))</x:f>
        <x:v>0</x:v>
      </x:c>
      <x:c r="T100" s="112" t="n">
        <x:f>IF('Session Training Data'!A96="",0,IF(COUNTIF('Session Training Data'!$A$5:$A$204,'Session Training Data'!A96)&gt;1,1,0))</x:f>
        <x:v>0</x:v>
      </x:c>
    </x:row>
    <x:row r="101">
      <x:c r="G101" s="112" t="n">
        <x:f>IF('Sessions'!B97="",0,IF(COUNTIF('Participants'!$A$5:$A$204,'Sessions'!B97)=0,1,0))</x:f>
        <x:v>0</x:v>
      </x:c>
      <x:c r="H101" s="112" t="n">
        <x:f>IF('Attempts'!B97="",0,IF(COUNTIF('Sessions'!$A$5:$A$204,'Attempts'!B97)=0,1,0))</x:f>
        <x:v>0</x:v>
      </x:c>
      <x:c r="I101" s="112" t="n">
        <x:f>IF('Sessions'!A97="",0,IF(COUNTIF('Expert Labels'!$B$5:$B$204,'Sessions'!A97)=0,1,0))</x:f>
        <x:v>0</x:v>
      </x:c>
      <x:c r="J101" s="112" t="n">
        <x:f>IF('Expert Labels'!B97="",0,IF(COUNTIF('Expert Labels'!$B$5:$B$204,'Expert Labels'!B97)&gt;1,1,0))</x:f>
        <x:v>0</x:v>
      </x:c>
      <x:c r="K101" s="112" t="n">
        <x:f>IF('Expert Labels'!B97="",0,IF(COUNTIF('Sessions'!$A$5:$A$204,'Expert Labels'!B97)=0,1,0))</x:f>
        <x:v>0</x:v>
      </x:c>
      <x:c r="L101" s="112" t="n">
        <x:f>IF('Session Training Data'!A97="",0,IF(COUNTIF('Sessions'!$A$5:$A$204,'Session Training Data'!A97)=0,1,0))</x:f>
        <x:v>0</x:v>
      </x:c>
      <x:c r="M101" s="112" t="n">
        <x:f>IF('Session Training Data'!AF97="",0,IF(COUNTIF('Participants'!$A$5:$A$204,'Session Training Data'!AF97)=0,1,0))</x:f>
        <x:v>0</x:v>
      </x:c>
      <x:c r="N101" s="112" t="n">
        <x:f>IF(OR('Session Training Data'!A97="",'Session Training Data'!AF97=""),0,IF(COUNTIFS('Sessions'!$A$5:$A$204,'Session Training Data'!A97,'Sessions'!$B$5:$B$204,'Session Training Data'!AF97)=0,1,0))</x:f>
        <x:v>0</x:v>
      </x:c>
      <x:c r="O101" s="112" t="n">
        <x:f>IF('Session Training Data'!AF97="",0,IF(COUNTIFS('Participants'!$A$5:$A$204,'Session Training Data'!AF97,'Participants'!$D$5:$D$204,"yes")=0,1,0))</x:f>
        <x:v>0</x:v>
      </x:c>
      <x:c r="P101" s="112" t="n">
        <x:f>IF('Session Training Data'!AF97="",0,IF(COUNTIF('Session Training Data'!$AF$5:AF97,'Session Training Data'!AF97)=1,1,0))</x:f>
        <x:v>0</x:v>
      </x:c>
      <x:c r="Q101" s="112" t="n">
        <x:f>IF('Participants'!A97="",0,IF(COUNTIF('Participants'!$A$5:$A$204,'Participants'!A97)&gt;1,1,0))</x:f>
        <x:v>0</x:v>
      </x:c>
      <x:c r="R101" s="112" t="n">
        <x:f>IF('Sessions'!A97="",0,IF(COUNTIF('Sessions'!$A$5:$A$204,'Sessions'!A97)&gt;1,1,0))</x:f>
        <x:v>0</x:v>
      </x:c>
      <x:c r="S101" s="112" t="n">
        <x:f>IF('Attempts'!A97="",0,IF(COUNTIF('Attempts'!$A$5:$A$204,'Attempts'!A97)&gt;1,1,0))</x:f>
        <x:v>0</x:v>
      </x:c>
      <x:c r="T101" s="112" t="n">
        <x:f>IF('Session Training Data'!A97="",0,IF(COUNTIF('Session Training Data'!$A$5:$A$204,'Session Training Data'!A97)&gt;1,1,0))</x:f>
        <x:v>0</x:v>
      </x:c>
    </x:row>
    <x:row r="102">
      <x:c r="G102" s="112" t="n">
        <x:f>IF('Sessions'!B98="",0,IF(COUNTIF('Participants'!$A$5:$A$204,'Sessions'!B98)=0,1,0))</x:f>
        <x:v>0</x:v>
      </x:c>
      <x:c r="H102" s="112" t="n">
        <x:f>IF('Attempts'!B98="",0,IF(COUNTIF('Sessions'!$A$5:$A$204,'Attempts'!B98)=0,1,0))</x:f>
        <x:v>0</x:v>
      </x:c>
      <x:c r="I102" s="112" t="n">
        <x:f>IF('Sessions'!A98="",0,IF(COUNTIF('Expert Labels'!$B$5:$B$204,'Sessions'!A98)=0,1,0))</x:f>
        <x:v>0</x:v>
      </x:c>
      <x:c r="J102" s="112" t="n">
        <x:f>IF('Expert Labels'!B98="",0,IF(COUNTIF('Expert Labels'!$B$5:$B$204,'Expert Labels'!B98)&gt;1,1,0))</x:f>
        <x:v>0</x:v>
      </x:c>
      <x:c r="K102" s="112" t="n">
        <x:f>IF('Expert Labels'!B98="",0,IF(COUNTIF('Sessions'!$A$5:$A$204,'Expert Labels'!B98)=0,1,0))</x:f>
        <x:v>0</x:v>
      </x:c>
      <x:c r="L102" s="112" t="n">
        <x:f>IF('Session Training Data'!A98="",0,IF(COUNTIF('Sessions'!$A$5:$A$204,'Session Training Data'!A98)=0,1,0))</x:f>
        <x:v>0</x:v>
      </x:c>
      <x:c r="M102" s="112" t="n">
        <x:f>IF('Session Training Data'!AF98="",0,IF(COUNTIF('Participants'!$A$5:$A$204,'Session Training Data'!AF98)=0,1,0))</x:f>
        <x:v>0</x:v>
      </x:c>
      <x:c r="N102" s="112" t="n">
        <x:f>IF(OR('Session Training Data'!A98="",'Session Training Data'!AF98=""),0,IF(COUNTIFS('Sessions'!$A$5:$A$204,'Session Training Data'!A98,'Sessions'!$B$5:$B$204,'Session Training Data'!AF98)=0,1,0))</x:f>
        <x:v>0</x:v>
      </x:c>
      <x:c r="O102" s="112" t="n">
        <x:f>IF('Session Training Data'!AF98="",0,IF(COUNTIFS('Participants'!$A$5:$A$204,'Session Training Data'!AF98,'Participants'!$D$5:$D$204,"yes")=0,1,0))</x:f>
        <x:v>0</x:v>
      </x:c>
      <x:c r="P102" s="112" t="n">
        <x:f>IF('Session Training Data'!AF98="",0,IF(COUNTIF('Session Training Data'!$AF$5:AF98,'Session Training Data'!AF98)=1,1,0))</x:f>
        <x:v>0</x:v>
      </x:c>
      <x:c r="Q102" s="112" t="n">
        <x:f>IF('Participants'!A98="",0,IF(COUNTIF('Participants'!$A$5:$A$204,'Participants'!A98)&gt;1,1,0))</x:f>
        <x:v>0</x:v>
      </x:c>
      <x:c r="R102" s="112" t="n">
        <x:f>IF('Sessions'!A98="",0,IF(COUNTIF('Sessions'!$A$5:$A$204,'Sessions'!A98)&gt;1,1,0))</x:f>
        <x:v>0</x:v>
      </x:c>
      <x:c r="S102" s="112" t="n">
        <x:f>IF('Attempts'!A98="",0,IF(COUNTIF('Attempts'!$A$5:$A$204,'Attempts'!A98)&gt;1,1,0))</x:f>
        <x:v>0</x:v>
      </x:c>
      <x:c r="T102" s="112" t="n">
        <x:f>IF('Session Training Data'!A98="",0,IF(COUNTIF('Session Training Data'!$A$5:$A$204,'Session Training Data'!A98)&gt;1,1,0))</x:f>
        <x:v>0</x:v>
      </x:c>
    </x:row>
    <x:row r="103">
      <x:c r="G103" s="112" t="n">
        <x:f>IF('Sessions'!B99="",0,IF(COUNTIF('Participants'!$A$5:$A$204,'Sessions'!B99)=0,1,0))</x:f>
        <x:v>0</x:v>
      </x:c>
      <x:c r="H103" s="112" t="n">
        <x:f>IF('Attempts'!B99="",0,IF(COUNTIF('Sessions'!$A$5:$A$204,'Attempts'!B99)=0,1,0))</x:f>
        <x:v>0</x:v>
      </x:c>
      <x:c r="I103" s="112" t="n">
        <x:f>IF('Sessions'!A99="",0,IF(COUNTIF('Expert Labels'!$B$5:$B$204,'Sessions'!A99)=0,1,0))</x:f>
        <x:v>0</x:v>
      </x:c>
      <x:c r="J103" s="112" t="n">
        <x:f>IF('Expert Labels'!B99="",0,IF(COUNTIF('Expert Labels'!$B$5:$B$204,'Expert Labels'!B99)&gt;1,1,0))</x:f>
        <x:v>0</x:v>
      </x:c>
      <x:c r="K103" s="112" t="n">
        <x:f>IF('Expert Labels'!B99="",0,IF(COUNTIF('Sessions'!$A$5:$A$204,'Expert Labels'!B99)=0,1,0))</x:f>
        <x:v>0</x:v>
      </x:c>
      <x:c r="L103" s="112" t="n">
        <x:f>IF('Session Training Data'!A99="",0,IF(COUNTIF('Sessions'!$A$5:$A$204,'Session Training Data'!A99)=0,1,0))</x:f>
        <x:v>0</x:v>
      </x:c>
      <x:c r="M103" s="112" t="n">
        <x:f>IF('Session Training Data'!AF99="",0,IF(COUNTIF('Participants'!$A$5:$A$204,'Session Training Data'!AF99)=0,1,0))</x:f>
        <x:v>0</x:v>
      </x:c>
      <x:c r="N103" s="112" t="n">
        <x:f>IF(OR('Session Training Data'!A99="",'Session Training Data'!AF99=""),0,IF(COUNTIFS('Sessions'!$A$5:$A$204,'Session Training Data'!A99,'Sessions'!$B$5:$B$204,'Session Training Data'!AF99)=0,1,0))</x:f>
        <x:v>0</x:v>
      </x:c>
      <x:c r="O103" s="112" t="n">
        <x:f>IF('Session Training Data'!AF99="",0,IF(COUNTIFS('Participants'!$A$5:$A$204,'Session Training Data'!AF99,'Participants'!$D$5:$D$204,"yes")=0,1,0))</x:f>
        <x:v>0</x:v>
      </x:c>
      <x:c r="P103" s="112" t="n">
        <x:f>IF('Session Training Data'!AF99="",0,IF(COUNTIF('Session Training Data'!$AF$5:AF99,'Session Training Data'!AF99)=1,1,0))</x:f>
        <x:v>0</x:v>
      </x:c>
      <x:c r="Q103" s="112" t="n">
        <x:f>IF('Participants'!A99="",0,IF(COUNTIF('Participants'!$A$5:$A$204,'Participants'!A99)&gt;1,1,0))</x:f>
        <x:v>0</x:v>
      </x:c>
      <x:c r="R103" s="112" t="n">
        <x:f>IF('Sessions'!A99="",0,IF(COUNTIF('Sessions'!$A$5:$A$204,'Sessions'!A99)&gt;1,1,0))</x:f>
        <x:v>0</x:v>
      </x:c>
      <x:c r="S103" s="112" t="n">
        <x:f>IF('Attempts'!A99="",0,IF(COUNTIF('Attempts'!$A$5:$A$204,'Attempts'!A99)&gt;1,1,0))</x:f>
        <x:v>0</x:v>
      </x:c>
      <x:c r="T103" s="112" t="n">
        <x:f>IF('Session Training Data'!A99="",0,IF(COUNTIF('Session Training Data'!$A$5:$A$204,'Session Training Data'!A99)&gt;1,1,0))</x:f>
        <x:v>0</x:v>
      </x:c>
    </x:row>
    <x:row r="104">
      <x:c r="G104" s="112" t="n">
        <x:f>IF('Sessions'!B100="",0,IF(COUNTIF('Participants'!$A$5:$A$204,'Sessions'!B100)=0,1,0))</x:f>
        <x:v>0</x:v>
      </x:c>
      <x:c r="H104" s="112" t="n">
        <x:f>IF('Attempts'!B100="",0,IF(COUNTIF('Sessions'!$A$5:$A$204,'Attempts'!B100)=0,1,0))</x:f>
        <x:v>0</x:v>
      </x:c>
      <x:c r="I104" s="112" t="n">
        <x:f>IF('Sessions'!A100="",0,IF(COUNTIF('Expert Labels'!$B$5:$B$204,'Sessions'!A100)=0,1,0))</x:f>
        <x:v>0</x:v>
      </x:c>
      <x:c r="J104" s="112" t="n">
        <x:f>IF('Expert Labels'!B100="",0,IF(COUNTIF('Expert Labels'!$B$5:$B$204,'Expert Labels'!B100)&gt;1,1,0))</x:f>
        <x:v>0</x:v>
      </x:c>
      <x:c r="K104" s="112" t="n">
        <x:f>IF('Expert Labels'!B100="",0,IF(COUNTIF('Sessions'!$A$5:$A$204,'Expert Labels'!B100)=0,1,0))</x:f>
        <x:v>0</x:v>
      </x:c>
      <x:c r="L104" s="112" t="n">
        <x:f>IF('Session Training Data'!A100="",0,IF(COUNTIF('Sessions'!$A$5:$A$204,'Session Training Data'!A100)=0,1,0))</x:f>
        <x:v>0</x:v>
      </x:c>
      <x:c r="M104" s="112" t="n">
        <x:f>IF('Session Training Data'!AF100="",0,IF(COUNTIF('Participants'!$A$5:$A$204,'Session Training Data'!AF100)=0,1,0))</x:f>
        <x:v>0</x:v>
      </x:c>
      <x:c r="N104" s="112" t="n">
        <x:f>IF(OR('Session Training Data'!A100="",'Session Training Data'!AF100=""),0,IF(COUNTIFS('Sessions'!$A$5:$A$204,'Session Training Data'!A100,'Sessions'!$B$5:$B$204,'Session Training Data'!AF100)=0,1,0))</x:f>
        <x:v>0</x:v>
      </x:c>
      <x:c r="O104" s="112" t="n">
        <x:f>IF('Session Training Data'!AF100="",0,IF(COUNTIFS('Participants'!$A$5:$A$204,'Session Training Data'!AF100,'Participants'!$D$5:$D$204,"yes")=0,1,0))</x:f>
        <x:v>0</x:v>
      </x:c>
      <x:c r="P104" s="112" t="n">
        <x:f>IF('Session Training Data'!AF100="",0,IF(COUNTIF('Session Training Data'!$AF$5:AF100,'Session Training Data'!AF100)=1,1,0))</x:f>
        <x:v>0</x:v>
      </x:c>
      <x:c r="Q104" s="112" t="n">
        <x:f>IF('Participants'!A100="",0,IF(COUNTIF('Participants'!$A$5:$A$204,'Participants'!A100)&gt;1,1,0))</x:f>
        <x:v>0</x:v>
      </x:c>
      <x:c r="R104" s="112" t="n">
        <x:f>IF('Sessions'!A100="",0,IF(COUNTIF('Sessions'!$A$5:$A$204,'Sessions'!A100)&gt;1,1,0))</x:f>
        <x:v>0</x:v>
      </x:c>
      <x:c r="S104" s="112" t="n">
        <x:f>IF('Attempts'!A100="",0,IF(COUNTIF('Attempts'!$A$5:$A$204,'Attempts'!A100)&gt;1,1,0))</x:f>
        <x:v>0</x:v>
      </x:c>
      <x:c r="T104" s="112" t="n">
        <x:f>IF('Session Training Data'!A100="",0,IF(COUNTIF('Session Training Data'!$A$5:$A$204,'Session Training Data'!A100)&gt;1,1,0))</x:f>
        <x:v>0</x:v>
      </x:c>
    </x:row>
    <x:row r="105">
      <x:c r="G105" s="112" t="n">
        <x:f>IF('Sessions'!B101="",0,IF(COUNTIF('Participants'!$A$5:$A$204,'Sessions'!B101)=0,1,0))</x:f>
        <x:v>0</x:v>
      </x:c>
      <x:c r="H105" s="112" t="n">
        <x:f>IF('Attempts'!B101="",0,IF(COUNTIF('Sessions'!$A$5:$A$204,'Attempts'!B101)=0,1,0))</x:f>
        <x:v>0</x:v>
      </x:c>
      <x:c r="I105" s="112" t="n">
        <x:f>IF('Sessions'!A101="",0,IF(COUNTIF('Expert Labels'!$B$5:$B$204,'Sessions'!A101)=0,1,0))</x:f>
        <x:v>0</x:v>
      </x:c>
      <x:c r="J105" s="112" t="n">
        <x:f>IF('Expert Labels'!B101="",0,IF(COUNTIF('Expert Labels'!$B$5:$B$204,'Expert Labels'!B101)&gt;1,1,0))</x:f>
        <x:v>0</x:v>
      </x:c>
      <x:c r="K105" s="112" t="n">
        <x:f>IF('Expert Labels'!B101="",0,IF(COUNTIF('Sessions'!$A$5:$A$204,'Expert Labels'!B101)=0,1,0))</x:f>
        <x:v>0</x:v>
      </x:c>
      <x:c r="L105" s="112" t="n">
        <x:f>IF('Session Training Data'!A101="",0,IF(COUNTIF('Sessions'!$A$5:$A$204,'Session Training Data'!A101)=0,1,0))</x:f>
        <x:v>0</x:v>
      </x:c>
      <x:c r="M105" s="112" t="n">
        <x:f>IF('Session Training Data'!AF101="",0,IF(COUNTIF('Participants'!$A$5:$A$204,'Session Training Data'!AF101)=0,1,0))</x:f>
        <x:v>0</x:v>
      </x:c>
      <x:c r="N105" s="112" t="n">
        <x:f>IF(OR('Session Training Data'!A101="",'Session Training Data'!AF101=""),0,IF(COUNTIFS('Sessions'!$A$5:$A$204,'Session Training Data'!A101,'Sessions'!$B$5:$B$204,'Session Training Data'!AF101)=0,1,0))</x:f>
        <x:v>0</x:v>
      </x:c>
      <x:c r="O105" s="112" t="n">
        <x:f>IF('Session Training Data'!AF101="",0,IF(COUNTIFS('Participants'!$A$5:$A$204,'Session Training Data'!AF101,'Participants'!$D$5:$D$204,"yes")=0,1,0))</x:f>
        <x:v>0</x:v>
      </x:c>
      <x:c r="P105" s="112" t="n">
        <x:f>IF('Session Training Data'!AF101="",0,IF(COUNTIF('Session Training Data'!$AF$5:AF101,'Session Training Data'!AF101)=1,1,0))</x:f>
        <x:v>0</x:v>
      </x:c>
      <x:c r="Q105" s="112" t="n">
        <x:f>IF('Participants'!A101="",0,IF(COUNTIF('Participants'!$A$5:$A$204,'Participants'!A101)&gt;1,1,0))</x:f>
        <x:v>0</x:v>
      </x:c>
      <x:c r="R105" s="112" t="n">
        <x:f>IF('Sessions'!A101="",0,IF(COUNTIF('Sessions'!$A$5:$A$204,'Sessions'!A101)&gt;1,1,0))</x:f>
        <x:v>0</x:v>
      </x:c>
      <x:c r="S105" s="112" t="n">
        <x:f>IF('Attempts'!A101="",0,IF(COUNTIF('Attempts'!$A$5:$A$204,'Attempts'!A101)&gt;1,1,0))</x:f>
        <x:v>0</x:v>
      </x:c>
      <x:c r="T105" s="112" t="n">
        <x:f>IF('Session Training Data'!A101="",0,IF(COUNTIF('Session Training Data'!$A$5:$A$204,'Session Training Data'!A101)&gt;1,1,0))</x:f>
        <x:v>0</x:v>
      </x:c>
    </x:row>
    <x:row r="106">
      <x:c r="G106" s="112" t="n">
        <x:f>IF('Sessions'!B102="",0,IF(COUNTIF('Participants'!$A$5:$A$204,'Sessions'!B102)=0,1,0))</x:f>
        <x:v>0</x:v>
      </x:c>
      <x:c r="H106" s="112" t="n">
        <x:f>IF('Attempts'!B102="",0,IF(COUNTIF('Sessions'!$A$5:$A$204,'Attempts'!B102)=0,1,0))</x:f>
        <x:v>0</x:v>
      </x:c>
      <x:c r="I106" s="112" t="n">
        <x:f>IF('Sessions'!A102="",0,IF(COUNTIF('Expert Labels'!$B$5:$B$204,'Sessions'!A102)=0,1,0))</x:f>
        <x:v>0</x:v>
      </x:c>
      <x:c r="J106" s="112" t="n">
        <x:f>IF('Expert Labels'!B102="",0,IF(COUNTIF('Expert Labels'!$B$5:$B$204,'Expert Labels'!B102)&gt;1,1,0))</x:f>
        <x:v>0</x:v>
      </x:c>
      <x:c r="K106" s="112" t="n">
        <x:f>IF('Expert Labels'!B102="",0,IF(COUNTIF('Sessions'!$A$5:$A$204,'Expert Labels'!B102)=0,1,0))</x:f>
        <x:v>0</x:v>
      </x:c>
      <x:c r="L106" s="112" t="n">
        <x:f>IF('Session Training Data'!A102="",0,IF(COUNTIF('Sessions'!$A$5:$A$204,'Session Training Data'!A102)=0,1,0))</x:f>
        <x:v>0</x:v>
      </x:c>
      <x:c r="M106" s="112" t="n">
        <x:f>IF('Session Training Data'!AF102="",0,IF(COUNTIF('Participants'!$A$5:$A$204,'Session Training Data'!AF102)=0,1,0))</x:f>
        <x:v>0</x:v>
      </x:c>
      <x:c r="N106" s="112" t="n">
        <x:f>IF(OR('Session Training Data'!A102="",'Session Training Data'!AF102=""),0,IF(COUNTIFS('Sessions'!$A$5:$A$204,'Session Training Data'!A102,'Sessions'!$B$5:$B$204,'Session Training Data'!AF102)=0,1,0))</x:f>
        <x:v>0</x:v>
      </x:c>
      <x:c r="O106" s="112" t="n">
        <x:f>IF('Session Training Data'!AF102="",0,IF(COUNTIFS('Participants'!$A$5:$A$204,'Session Training Data'!AF102,'Participants'!$D$5:$D$204,"yes")=0,1,0))</x:f>
        <x:v>0</x:v>
      </x:c>
      <x:c r="P106" s="112" t="n">
        <x:f>IF('Session Training Data'!AF102="",0,IF(COUNTIF('Session Training Data'!$AF$5:AF102,'Session Training Data'!AF102)=1,1,0))</x:f>
        <x:v>0</x:v>
      </x:c>
      <x:c r="Q106" s="112" t="n">
        <x:f>IF('Participants'!A102="",0,IF(COUNTIF('Participants'!$A$5:$A$204,'Participants'!A102)&gt;1,1,0))</x:f>
        <x:v>0</x:v>
      </x:c>
      <x:c r="R106" s="112" t="n">
        <x:f>IF('Sessions'!A102="",0,IF(COUNTIF('Sessions'!$A$5:$A$204,'Sessions'!A102)&gt;1,1,0))</x:f>
        <x:v>0</x:v>
      </x:c>
      <x:c r="S106" s="112" t="n">
        <x:f>IF('Attempts'!A102="",0,IF(COUNTIF('Attempts'!$A$5:$A$204,'Attempts'!A102)&gt;1,1,0))</x:f>
        <x:v>0</x:v>
      </x:c>
      <x:c r="T106" s="112" t="n">
        <x:f>IF('Session Training Data'!A102="",0,IF(COUNTIF('Session Training Data'!$A$5:$A$204,'Session Training Data'!A102)&gt;1,1,0))</x:f>
        <x:v>0</x:v>
      </x:c>
    </x:row>
    <x:row r="107">
      <x:c r="G107" s="112" t="n">
        <x:f>IF('Sessions'!B103="",0,IF(COUNTIF('Participants'!$A$5:$A$204,'Sessions'!B103)=0,1,0))</x:f>
        <x:v>0</x:v>
      </x:c>
      <x:c r="H107" s="112" t="n">
        <x:f>IF('Attempts'!B103="",0,IF(COUNTIF('Sessions'!$A$5:$A$204,'Attempts'!B103)=0,1,0))</x:f>
        <x:v>0</x:v>
      </x:c>
      <x:c r="I107" s="112" t="n">
        <x:f>IF('Sessions'!A103="",0,IF(COUNTIF('Expert Labels'!$B$5:$B$204,'Sessions'!A103)=0,1,0))</x:f>
        <x:v>0</x:v>
      </x:c>
      <x:c r="J107" s="112" t="n">
        <x:f>IF('Expert Labels'!B103="",0,IF(COUNTIF('Expert Labels'!$B$5:$B$204,'Expert Labels'!B103)&gt;1,1,0))</x:f>
        <x:v>0</x:v>
      </x:c>
      <x:c r="K107" s="112" t="n">
        <x:f>IF('Expert Labels'!B103="",0,IF(COUNTIF('Sessions'!$A$5:$A$204,'Expert Labels'!B103)=0,1,0))</x:f>
        <x:v>0</x:v>
      </x:c>
      <x:c r="L107" s="112" t="n">
        <x:f>IF('Session Training Data'!A103="",0,IF(COUNTIF('Sessions'!$A$5:$A$204,'Session Training Data'!A103)=0,1,0))</x:f>
        <x:v>0</x:v>
      </x:c>
      <x:c r="M107" s="112" t="n">
        <x:f>IF('Session Training Data'!AF103="",0,IF(COUNTIF('Participants'!$A$5:$A$204,'Session Training Data'!AF103)=0,1,0))</x:f>
        <x:v>0</x:v>
      </x:c>
      <x:c r="N107" s="112" t="n">
        <x:f>IF(OR('Session Training Data'!A103="",'Session Training Data'!AF103=""),0,IF(COUNTIFS('Sessions'!$A$5:$A$204,'Session Training Data'!A103,'Sessions'!$B$5:$B$204,'Session Training Data'!AF103)=0,1,0))</x:f>
        <x:v>0</x:v>
      </x:c>
      <x:c r="O107" s="112" t="n">
        <x:f>IF('Session Training Data'!AF103="",0,IF(COUNTIFS('Participants'!$A$5:$A$204,'Session Training Data'!AF103,'Participants'!$D$5:$D$204,"yes")=0,1,0))</x:f>
        <x:v>0</x:v>
      </x:c>
      <x:c r="P107" s="112" t="n">
        <x:f>IF('Session Training Data'!AF103="",0,IF(COUNTIF('Session Training Data'!$AF$5:AF103,'Session Training Data'!AF103)=1,1,0))</x:f>
        <x:v>0</x:v>
      </x:c>
      <x:c r="Q107" s="112" t="n">
        <x:f>IF('Participants'!A103="",0,IF(COUNTIF('Participants'!$A$5:$A$204,'Participants'!A103)&gt;1,1,0))</x:f>
        <x:v>0</x:v>
      </x:c>
      <x:c r="R107" s="112" t="n">
        <x:f>IF('Sessions'!A103="",0,IF(COUNTIF('Sessions'!$A$5:$A$204,'Sessions'!A103)&gt;1,1,0))</x:f>
        <x:v>0</x:v>
      </x:c>
      <x:c r="S107" s="112" t="n">
        <x:f>IF('Attempts'!A103="",0,IF(COUNTIF('Attempts'!$A$5:$A$204,'Attempts'!A103)&gt;1,1,0))</x:f>
        <x:v>0</x:v>
      </x:c>
      <x:c r="T107" s="112" t="n">
        <x:f>IF('Session Training Data'!A103="",0,IF(COUNTIF('Session Training Data'!$A$5:$A$204,'Session Training Data'!A103)&gt;1,1,0))</x:f>
        <x:v>0</x:v>
      </x:c>
    </x:row>
    <x:row r="108">
      <x:c r="G108" s="112" t="n">
        <x:f>IF('Sessions'!B104="",0,IF(COUNTIF('Participants'!$A$5:$A$204,'Sessions'!B104)=0,1,0))</x:f>
        <x:v>0</x:v>
      </x:c>
      <x:c r="H108" s="112" t="n">
        <x:f>IF('Attempts'!B104="",0,IF(COUNTIF('Sessions'!$A$5:$A$204,'Attempts'!B104)=0,1,0))</x:f>
        <x:v>0</x:v>
      </x:c>
      <x:c r="I108" s="112" t="n">
        <x:f>IF('Sessions'!A104="",0,IF(COUNTIF('Expert Labels'!$B$5:$B$204,'Sessions'!A104)=0,1,0))</x:f>
        <x:v>0</x:v>
      </x:c>
      <x:c r="J108" s="112" t="n">
        <x:f>IF('Expert Labels'!B104="",0,IF(COUNTIF('Expert Labels'!$B$5:$B$204,'Expert Labels'!B104)&gt;1,1,0))</x:f>
        <x:v>0</x:v>
      </x:c>
      <x:c r="K108" s="112" t="n">
        <x:f>IF('Expert Labels'!B104="",0,IF(COUNTIF('Sessions'!$A$5:$A$204,'Expert Labels'!B104)=0,1,0))</x:f>
        <x:v>0</x:v>
      </x:c>
      <x:c r="L108" s="112" t="n">
        <x:f>IF('Session Training Data'!A104="",0,IF(COUNTIF('Sessions'!$A$5:$A$204,'Session Training Data'!A104)=0,1,0))</x:f>
        <x:v>0</x:v>
      </x:c>
      <x:c r="M108" s="112" t="n">
        <x:f>IF('Session Training Data'!AF104="",0,IF(COUNTIF('Participants'!$A$5:$A$204,'Session Training Data'!AF104)=0,1,0))</x:f>
        <x:v>0</x:v>
      </x:c>
      <x:c r="N108" s="112" t="n">
        <x:f>IF(OR('Session Training Data'!A104="",'Session Training Data'!AF104=""),0,IF(COUNTIFS('Sessions'!$A$5:$A$204,'Session Training Data'!A104,'Sessions'!$B$5:$B$204,'Session Training Data'!AF104)=0,1,0))</x:f>
        <x:v>0</x:v>
      </x:c>
      <x:c r="O108" s="112" t="n">
        <x:f>IF('Session Training Data'!AF104="",0,IF(COUNTIFS('Participants'!$A$5:$A$204,'Session Training Data'!AF104,'Participants'!$D$5:$D$204,"yes")=0,1,0))</x:f>
        <x:v>0</x:v>
      </x:c>
      <x:c r="P108" s="112" t="n">
        <x:f>IF('Session Training Data'!AF104="",0,IF(COUNTIF('Session Training Data'!$AF$5:AF104,'Session Training Data'!AF104)=1,1,0))</x:f>
        <x:v>0</x:v>
      </x:c>
      <x:c r="Q108" s="112" t="n">
        <x:f>IF('Participants'!A104="",0,IF(COUNTIF('Participants'!$A$5:$A$204,'Participants'!A104)&gt;1,1,0))</x:f>
        <x:v>0</x:v>
      </x:c>
      <x:c r="R108" s="112" t="n">
        <x:f>IF('Sessions'!A104="",0,IF(COUNTIF('Sessions'!$A$5:$A$204,'Sessions'!A104)&gt;1,1,0))</x:f>
        <x:v>0</x:v>
      </x:c>
      <x:c r="S108" s="112" t="n">
        <x:f>IF('Attempts'!A104="",0,IF(COUNTIF('Attempts'!$A$5:$A$204,'Attempts'!A104)&gt;1,1,0))</x:f>
        <x:v>0</x:v>
      </x:c>
      <x:c r="T108" s="112" t="n">
        <x:f>IF('Session Training Data'!A104="",0,IF(COUNTIF('Session Training Data'!$A$5:$A$204,'Session Training Data'!A104)&gt;1,1,0))</x:f>
        <x:v>0</x:v>
      </x:c>
    </x:row>
    <x:row r="109">
      <x:c r="G109" s="112" t="n">
        <x:f>IF('Sessions'!B105="",0,IF(COUNTIF('Participants'!$A$5:$A$204,'Sessions'!B105)=0,1,0))</x:f>
        <x:v>0</x:v>
      </x:c>
      <x:c r="H109" s="112" t="n">
        <x:f>IF('Attempts'!B105="",0,IF(COUNTIF('Sessions'!$A$5:$A$204,'Attempts'!B105)=0,1,0))</x:f>
        <x:v>0</x:v>
      </x:c>
      <x:c r="I109" s="112" t="n">
        <x:f>IF('Sessions'!A105="",0,IF(COUNTIF('Expert Labels'!$B$5:$B$204,'Sessions'!A105)=0,1,0))</x:f>
        <x:v>0</x:v>
      </x:c>
      <x:c r="J109" s="112" t="n">
        <x:f>IF('Expert Labels'!B105="",0,IF(COUNTIF('Expert Labels'!$B$5:$B$204,'Expert Labels'!B105)&gt;1,1,0))</x:f>
        <x:v>0</x:v>
      </x:c>
      <x:c r="K109" s="112" t="n">
        <x:f>IF('Expert Labels'!B105="",0,IF(COUNTIF('Sessions'!$A$5:$A$204,'Expert Labels'!B105)=0,1,0))</x:f>
        <x:v>0</x:v>
      </x:c>
      <x:c r="L109" s="112" t="n">
        <x:f>IF('Session Training Data'!A105="",0,IF(COUNTIF('Sessions'!$A$5:$A$204,'Session Training Data'!A105)=0,1,0))</x:f>
        <x:v>0</x:v>
      </x:c>
      <x:c r="M109" s="112" t="n">
        <x:f>IF('Session Training Data'!AF105="",0,IF(COUNTIF('Participants'!$A$5:$A$204,'Session Training Data'!AF105)=0,1,0))</x:f>
        <x:v>0</x:v>
      </x:c>
      <x:c r="N109" s="112" t="n">
        <x:f>IF(OR('Session Training Data'!A105="",'Session Training Data'!AF105=""),0,IF(COUNTIFS('Sessions'!$A$5:$A$204,'Session Training Data'!A105,'Sessions'!$B$5:$B$204,'Session Training Data'!AF105)=0,1,0))</x:f>
        <x:v>0</x:v>
      </x:c>
      <x:c r="O109" s="112" t="n">
        <x:f>IF('Session Training Data'!AF105="",0,IF(COUNTIFS('Participants'!$A$5:$A$204,'Session Training Data'!AF105,'Participants'!$D$5:$D$204,"yes")=0,1,0))</x:f>
        <x:v>0</x:v>
      </x:c>
      <x:c r="P109" s="112" t="n">
        <x:f>IF('Session Training Data'!AF105="",0,IF(COUNTIF('Session Training Data'!$AF$5:AF105,'Session Training Data'!AF105)=1,1,0))</x:f>
        <x:v>0</x:v>
      </x:c>
      <x:c r="Q109" s="112" t="n">
        <x:f>IF('Participants'!A105="",0,IF(COUNTIF('Participants'!$A$5:$A$204,'Participants'!A105)&gt;1,1,0))</x:f>
        <x:v>0</x:v>
      </x:c>
      <x:c r="R109" s="112" t="n">
        <x:f>IF('Sessions'!A105="",0,IF(COUNTIF('Sessions'!$A$5:$A$204,'Sessions'!A105)&gt;1,1,0))</x:f>
        <x:v>0</x:v>
      </x:c>
      <x:c r="S109" s="112" t="n">
        <x:f>IF('Attempts'!A105="",0,IF(COUNTIF('Attempts'!$A$5:$A$204,'Attempts'!A105)&gt;1,1,0))</x:f>
        <x:v>0</x:v>
      </x:c>
      <x:c r="T109" s="112" t="n">
        <x:f>IF('Session Training Data'!A105="",0,IF(COUNTIF('Session Training Data'!$A$5:$A$204,'Session Training Data'!A105)&gt;1,1,0))</x:f>
        <x:v>0</x:v>
      </x:c>
    </x:row>
    <x:row r="110">
      <x:c r="G110" s="112" t="n">
        <x:f>IF('Sessions'!B106="",0,IF(COUNTIF('Participants'!$A$5:$A$204,'Sessions'!B106)=0,1,0))</x:f>
        <x:v>0</x:v>
      </x:c>
      <x:c r="H110" s="112" t="n">
        <x:f>IF('Attempts'!B106="",0,IF(COUNTIF('Sessions'!$A$5:$A$204,'Attempts'!B106)=0,1,0))</x:f>
        <x:v>0</x:v>
      </x:c>
      <x:c r="I110" s="112" t="n">
        <x:f>IF('Sessions'!A106="",0,IF(COUNTIF('Expert Labels'!$B$5:$B$204,'Sessions'!A106)=0,1,0))</x:f>
        <x:v>0</x:v>
      </x:c>
      <x:c r="J110" s="112" t="n">
        <x:f>IF('Expert Labels'!B106="",0,IF(COUNTIF('Expert Labels'!$B$5:$B$204,'Expert Labels'!B106)&gt;1,1,0))</x:f>
        <x:v>0</x:v>
      </x:c>
      <x:c r="K110" s="112" t="n">
        <x:f>IF('Expert Labels'!B106="",0,IF(COUNTIF('Sessions'!$A$5:$A$204,'Expert Labels'!B106)=0,1,0))</x:f>
        <x:v>0</x:v>
      </x:c>
      <x:c r="L110" s="112" t="n">
        <x:f>IF('Session Training Data'!A106="",0,IF(COUNTIF('Sessions'!$A$5:$A$204,'Session Training Data'!A106)=0,1,0))</x:f>
        <x:v>0</x:v>
      </x:c>
      <x:c r="M110" s="112" t="n">
        <x:f>IF('Session Training Data'!AF106="",0,IF(COUNTIF('Participants'!$A$5:$A$204,'Session Training Data'!AF106)=0,1,0))</x:f>
        <x:v>0</x:v>
      </x:c>
      <x:c r="N110" s="112" t="n">
        <x:f>IF(OR('Session Training Data'!A106="",'Session Training Data'!AF106=""),0,IF(COUNTIFS('Sessions'!$A$5:$A$204,'Session Training Data'!A106,'Sessions'!$B$5:$B$204,'Session Training Data'!AF106)=0,1,0))</x:f>
        <x:v>0</x:v>
      </x:c>
      <x:c r="O110" s="112" t="n">
        <x:f>IF('Session Training Data'!AF106="",0,IF(COUNTIFS('Participants'!$A$5:$A$204,'Session Training Data'!AF106,'Participants'!$D$5:$D$204,"yes")=0,1,0))</x:f>
        <x:v>0</x:v>
      </x:c>
      <x:c r="P110" s="112" t="n">
        <x:f>IF('Session Training Data'!AF106="",0,IF(COUNTIF('Session Training Data'!$AF$5:AF106,'Session Training Data'!AF106)=1,1,0))</x:f>
        <x:v>0</x:v>
      </x:c>
      <x:c r="Q110" s="112" t="n">
        <x:f>IF('Participants'!A106="",0,IF(COUNTIF('Participants'!$A$5:$A$204,'Participants'!A106)&gt;1,1,0))</x:f>
        <x:v>0</x:v>
      </x:c>
      <x:c r="R110" s="112" t="n">
        <x:f>IF('Sessions'!A106="",0,IF(COUNTIF('Sessions'!$A$5:$A$204,'Sessions'!A106)&gt;1,1,0))</x:f>
        <x:v>0</x:v>
      </x:c>
      <x:c r="S110" s="112" t="n">
        <x:f>IF('Attempts'!A106="",0,IF(COUNTIF('Attempts'!$A$5:$A$204,'Attempts'!A106)&gt;1,1,0))</x:f>
        <x:v>0</x:v>
      </x:c>
      <x:c r="T110" s="112" t="n">
        <x:f>IF('Session Training Data'!A106="",0,IF(COUNTIF('Session Training Data'!$A$5:$A$204,'Session Training Data'!A106)&gt;1,1,0))</x:f>
        <x:v>0</x:v>
      </x:c>
    </x:row>
    <x:row r="111">
      <x:c r="G111" s="112" t="n">
        <x:f>IF('Sessions'!B107="",0,IF(COUNTIF('Participants'!$A$5:$A$204,'Sessions'!B107)=0,1,0))</x:f>
        <x:v>0</x:v>
      </x:c>
      <x:c r="H111" s="112" t="n">
        <x:f>IF('Attempts'!B107="",0,IF(COUNTIF('Sessions'!$A$5:$A$204,'Attempts'!B107)=0,1,0))</x:f>
        <x:v>0</x:v>
      </x:c>
      <x:c r="I111" s="112" t="n">
        <x:f>IF('Sessions'!A107="",0,IF(COUNTIF('Expert Labels'!$B$5:$B$204,'Sessions'!A107)=0,1,0))</x:f>
        <x:v>0</x:v>
      </x:c>
      <x:c r="J111" s="112" t="n">
        <x:f>IF('Expert Labels'!B107="",0,IF(COUNTIF('Expert Labels'!$B$5:$B$204,'Expert Labels'!B107)&gt;1,1,0))</x:f>
        <x:v>0</x:v>
      </x:c>
      <x:c r="K111" s="112" t="n">
        <x:f>IF('Expert Labels'!B107="",0,IF(COUNTIF('Sessions'!$A$5:$A$204,'Expert Labels'!B107)=0,1,0))</x:f>
        <x:v>0</x:v>
      </x:c>
      <x:c r="L111" s="112" t="n">
        <x:f>IF('Session Training Data'!A107="",0,IF(COUNTIF('Sessions'!$A$5:$A$204,'Session Training Data'!A107)=0,1,0))</x:f>
        <x:v>0</x:v>
      </x:c>
      <x:c r="M111" s="112" t="n">
        <x:f>IF('Session Training Data'!AF107="",0,IF(COUNTIF('Participants'!$A$5:$A$204,'Session Training Data'!AF107)=0,1,0))</x:f>
        <x:v>0</x:v>
      </x:c>
      <x:c r="N111" s="112" t="n">
        <x:f>IF(OR('Session Training Data'!A107="",'Session Training Data'!AF107=""),0,IF(COUNTIFS('Sessions'!$A$5:$A$204,'Session Training Data'!A107,'Sessions'!$B$5:$B$204,'Session Training Data'!AF107)=0,1,0))</x:f>
        <x:v>0</x:v>
      </x:c>
      <x:c r="O111" s="112" t="n">
        <x:f>IF('Session Training Data'!AF107="",0,IF(COUNTIFS('Participants'!$A$5:$A$204,'Session Training Data'!AF107,'Participants'!$D$5:$D$204,"yes")=0,1,0))</x:f>
        <x:v>0</x:v>
      </x:c>
      <x:c r="P111" s="112" t="n">
        <x:f>IF('Session Training Data'!AF107="",0,IF(COUNTIF('Session Training Data'!$AF$5:AF107,'Session Training Data'!AF107)=1,1,0))</x:f>
        <x:v>0</x:v>
      </x:c>
      <x:c r="Q111" s="112" t="n">
        <x:f>IF('Participants'!A107="",0,IF(COUNTIF('Participants'!$A$5:$A$204,'Participants'!A107)&gt;1,1,0))</x:f>
        <x:v>0</x:v>
      </x:c>
      <x:c r="R111" s="112" t="n">
        <x:f>IF('Sessions'!A107="",0,IF(COUNTIF('Sessions'!$A$5:$A$204,'Sessions'!A107)&gt;1,1,0))</x:f>
        <x:v>0</x:v>
      </x:c>
      <x:c r="S111" s="112" t="n">
        <x:f>IF('Attempts'!A107="",0,IF(COUNTIF('Attempts'!$A$5:$A$204,'Attempts'!A107)&gt;1,1,0))</x:f>
        <x:v>0</x:v>
      </x:c>
      <x:c r="T111" s="112" t="n">
        <x:f>IF('Session Training Data'!A107="",0,IF(COUNTIF('Session Training Data'!$A$5:$A$204,'Session Training Data'!A107)&gt;1,1,0))</x:f>
        <x:v>0</x:v>
      </x:c>
    </x:row>
    <x:row r="112">
      <x:c r="G112" s="112" t="n">
        <x:f>IF('Sessions'!B108="",0,IF(COUNTIF('Participants'!$A$5:$A$204,'Sessions'!B108)=0,1,0))</x:f>
        <x:v>0</x:v>
      </x:c>
      <x:c r="H112" s="112" t="n">
        <x:f>IF('Attempts'!B108="",0,IF(COUNTIF('Sessions'!$A$5:$A$204,'Attempts'!B108)=0,1,0))</x:f>
        <x:v>0</x:v>
      </x:c>
      <x:c r="I112" s="112" t="n">
        <x:f>IF('Sessions'!A108="",0,IF(COUNTIF('Expert Labels'!$B$5:$B$204,'Sessions'!A108)=0,1,0))</x:f>
        <x:v>0</x:v>
      </x:c>
      <x:c r="J112" s="112" t="n">
        <x:f>IF('Expert Labels'!B108="",0,IF(COUNTIF('Expert Labels'!$B$5:$B$204,'Expert Labels'!B108)&gt;1,1,0))</x:f>
        <x:v>0</x:v>
      </x:c>
      <x:c r="K112" s="112" t="n">
        <x:f>IF('Expert Labels'!B108="",0,IF(COUNTIF('Sessions'!$A$5:$A$204,'Expert Labels'!B108)=0,1,0))</x:f>
        <x:v>0</x:v>
      </x:c>
      <x:c r="L112" s="112" t="n">
        <x:f>IF('Session Training Data'!A108="",0,IF(COUNTIF('Sessions'!$A$5:$A$204,'Session Training Data'!A108)=0,1,0))</x:f>
        <x:v>0</x:v>
      </x:c>
      <x:c r="M112" s="112" t="n">
        <x:f>IF('Session Training Data'!AF108="",0,IF(COUNTIF('Participants'!$A$5:$A$204,'Session Training Data'!AF108)=0,1,0))</x:f>
        <x:v>0</x:v>
      </x:c>
      <x:c r="N112" s="112" t="n">
        <x:f>IF(OR('Session Training Data'!A108="",'Session Training Data'!AF108=""),0,IF(COUNTIFS('Sessions'!$A$5:$A$204,'Session Training Data'!A108,'Sessions'!$B$5:$B$204,'Session Training Data'!AF108)=0,1,0))</x:f>
        <x:v>0</x:v>
      </x:c>
      <x:c r="O112" s="112" t="n">
        <x:f>IF('Session Training Data'!AF108="",0,IF(COUNTIFS('Participants'!$A$5:$A$204,'Session Training Data'!AF108,'Participants'!$D$5:$D$204,"yes")=0,1,0))</x:f>
        <x:v>0</x:v>
      </x:c>
      <x:c r="P112" s="112" t="n">
        <x:f>IF('Session Training Data'!AF108="",0,IF(COUNTIF('Session Training Data'!$AF$5:AF108,'Session Training Data'!AF108)=1,1,0))</x:f>
        <x:v>0</x:v>
      </x:c>
      <x:c r="Q112" s="112" t="n">
        <x:f>IF('Participants'!A108="",0,IF(COUNTIF('Participants'!$A$5:$A$204,'Participants'!A108)&gt;1,1,0))</x:f>
        <x:v>0</x:v>
      </x:c>
      <x:c r="R112" s="112" t="n">
        <x:f>IF('Sessions'!A108="",0,IF(COUNTIF('Sessions'!$A$5:$A$204,'Sessions'!A108)&gt;1,1,0))</x:f>
        <x:v>0</x:v>
      </x:c>
      <x:c r="S112" s="112" t="n">
        <x:f>IF('Attempts'!A108="",0,IF(COUNTIF('Attempts'!$A$5:$A$204,'Attempts'!A108)&gt;1,1,0))</x:f>
        <x:v>0</x:v>
      </x:c>
      <x:c r="T112" s="112" t="n">
        <x:f>IF('Session Training Data'!A108="",0,IF(COUNTIF('Session Training Data'!$A$5:$A$204,'Session Training Data'!A108)&gt;1,1,0))</x:f>
        <x:v>0</x:v>
      </x:c>
    </x:row>
    <x:row r="113">
      <x:c r="G113" s="112" t="n">
        <x:f>IF('Sessions'!B109="",0,IF(COUNTIF('Participants'!$A$5:$A$204,'Sessions'!B109)=0,1,0))</x:f>
        <x:v>0</x:v>
      </x:c>
      <x:c r="H113" s="112" t="n">
        <x:f>IF('Attempts'!B109="",0,IF(COUNTIF('Sessions'!$A$5:$A$204,'Attempts'!B109)=0,1,0))</x:f>
        <x:v>0</x:v>
      </x:c>
      <x:c r="I113" s="112" t="n">
        <x:f>IF('Sessions'!A109="",0,IF(COUNTIF('Expert Labels'!$B$5:$B$204,'Sessions'!A109)=0,1,0))</x:f>
        <x:v>0</x:v>
      </x:c>
      <x:c r="J113" s="112" t="n">
        <x:f>IF('Expert Labels'!B109="",0,IF(COUNTIF('Expert Labels'!$B$5:$B$204,'Expert Labels'!B109)&gt;1,1,0))</x:f>
        <x:v>0</x:v>
      </x:c>
      <x:c r="K113" s="112" t="n">
        <x:f>IF('Expert Labels'!B109="",0,IF(COUNTIF('Sessions'!$A$5:$A$204,'Expert Labels'!B109)=0,1,0))</x:f>
        <x:v>0</x:v>
      </x:c>
      <x:c r="L113" s="112" t="n">
        <x:f>IF('Session Training Data'!A109="",0,IF(COUNTIF('Sessions'!$A$5:$A$204,'Session Training Data'!A109)=0,1,0))</x:f>
        <x:v>0</x:v>
      </x:c>
      <x:c r="M113" s="112" t="n">
        <x:f>IF('Session Training Data'!AF109="",0,IF(COUNTIF('Participants'!$A$5:$A$204,'Session Training Data'!AF109)=0,1,0))</x:f>
        <x:v>0</x:v>
      </x:c>
      <x:c r="N113" s="112" t="n">
        <x:f>IF(OR('Session Training Data'!A109="",'Session Training Data'!AF109=""),0,IF(COUNTIFS('Sessions'!$A$5:$A$204,'Session Training Data'!A109,'Sessions'!$B$5:$B$204,'Session Training Data'!AF109)=0,1,0))</x:f>
        <x:v>0</x:v>
      </x:c>
      <x:c r="O113" s="112" t="n">
        <x:f>IF('Session Training Data'!AF109="",0,IF(COUNTIFS('Participants'!$A$5:$A$204,'Session Training Data'!AF109,'Participants'!$D$5:$D$204,"yes")=0,1,0))</x:f>
        <x:v>0</x:v>
      </x:c>
      <x:c r="P113" s="112" t="n">
        <x:f>IF('Session Training Data'!AF109="",0,IF(COUNTIF('Session Training Data'!$AF$5:AF109,'Session Training Data'!AF109)=1,1,0))</x:f>
        <x:v>0</x:v>
      </x:c>
      <x:c r="Q113" s="112" t="n">
        <x:f>IF('Participants'!A109="",0,IF(COUNTIF('Participants'!$A$5:$A$204,'Participants'!A109)&gt;1,1,0))</x:f>
        <x:v>0</x:v>
      </x:c>
      <x:c r="R113" s="112" t="n">
        <x:f>IF('Sessions'!A109="",0,IF(COUNTIF('Sessions'!$A$5:$A$204,'Sessions'!A109)&gt;1,1,0))</x:f>
        <x:v>0</x:v>
      </x:c>
      <x:c r="S113" s="112" t="n">
        <x:f>IF('Attempts'!A109="",0,IF(COUNTIF('Attempts'!$A$5:$A$204,'Attempts'!A109)&gt;1,1,0))</x:f>
        <x:v>0</x:v>
      </x:c>
      <x:c r="T113" s="112" t="n">
        <x:f>IF('Session Training Data'!A109="",0,IF(COUNTIF('Session Training Data'!$A$5:$A$204,'Session Training Data'!A109)&gt;1,1,0))</x:f>
        <x:v>0</x:v>
      </x:c>
    </x:row>
    <x:row r="114">
      <x:c r="G114" s="112" t="n">
        <x:f>IF('Sessions'!B110="",0,IF(COUNTIF('Participants'!$A$5:$A$204,'Sessions'!B110)=0,1,0))</x:f>
        <x:v>0</x:v>
      </x:c>
      <x:c r="H114" s="112" t="n">
        <x:f>IF('Attempts'!B110="",0,IF(COUNTIF('Sessions'!$A$5:$A$204,'Attempts'!B110)=0,1,0))</x:f>
        <x:v>0</x:v>
      </x:c>
      <x:c r="I114" s="112" t="n">
        <x:f>IF('Sessions'!A110="",0,IF(COUNTIF('Expert Labels'!$B$5:$B$204,'Sessions'!A110)=0,1,0))</x:f>
        <x:v>0</x:v>
      </x:c>
      <x:c r="J114" s="112" t="n">
        <x:f>IF('Expert Labels'!B110="",0,IF(COUNTIF('Expert Labels'!$B$5:$B$204,'Expert Labels'!B110)&gt;1,1,0))</x:f>
        <x:v>0</x:v>
      </x:c>
      <x:c r="K114" s="112" t="n">
        <x:f>IF('Expert Labels'!B110="",0,IF(COUNTIF('Sessions'!$A$5:$A$204,'Expert Labels'!B110)=0,1,0))</x:f>
        <x:v>0</x:v>
      </x:c>
      <x:c r="L114" s="112" t="n">
        <x:f>IF('Session Training Data'!A110="",0,IF(COUNTIF('Sessions'!$A$5:$A$204,'Session Training Data'!A110)=0,1,0))</x:f>
        <x:v>0</x:v>
      </x:c>
      <x:c r="M114" s="112" t="n">
        <x:f>IF('Session Training Data'!AF110="",0,IF(COUNTIF('Participants'!$A$5:$A$204,'Session Training Data'!AF110)=0,1,0))</x:f>
        <x:v>0</x:v>
      </x:c>
      <x:c r="N114" s="112" t="n">
        <x:f>IF(OR('Session Training Data'!A110="",'Session Training Data'!AF110=""),0,IF(COUNTIFS('Sessions'!$A$5:$A$204,'Session Training Data'!A110,'Sessions'!$B$5:$B$204,'Session Training Data'!AF110)=0,1,0))</x:f>
        <x:v>0</x:v>
      </x:c>
      <x:c r="O114" s="112" t="n">
        <x:f>IF('Session Training Data'!AF110="",0,IF(COUNTIFS('Participants'!$A$5:$A$204,'Session Training Data'!AF110,'Participants'!$D$5:$D$204,"yes")=0,1,0))</x:f>
        <x:v>0</x:v>
      </x:c>
      <x:c r="P114" s="112" t="n">
        <x:f>IF('Session Training Data'!AF110="",0,IF(COUNTIF('Session Training Data'!$AF$5:AF110,'Session Training Data'!AF110)=1,1,0))</x:f>
        <x:v>0</x:v>
      </x:c>
      <x:c r="Q114" s="112" t="n">
        <x:f>IF('Participants'!A110="",0,IF(COUNTIF('Participants'!$A$5:$A$204,'Participants'!A110)&gt;1,1,0))</x:f>
        <x:v>0</x:v>
      </x:c>
      <x:c r="R114" s="112" t="n">
        <x:f>IF('Sessions'!A110="",0,IF(COUNTIF('Sessions'!$A$5:$A$204,'Sessions'!A110)&gt;1,1,0))</x:f>
        <x:v>0</x:v>
      </x:c>
      <x:c r="S114" s="112" t="n">
        <x:f>IF('Attempts'!A110="",0,IF(COUNTIF('Attempts'!$A$5:$A$204,'Attempts'!A110)&gt;1,1,0))</x:f>
        <x:v>0</x:v>
      </x:c>
      <x:c r="T114" s="112" t="n">
        <x:f>IF('Session Training Data'!A110="",0,IF(COUNTIF('Session Training Data'!$A$5:$A$204,'Session Training Data'!A110)&gt;1,1,0))</x:f>
        <x:v>0</x:v>
      </x:c>
    </x:row>
    <x:row r="115">
      <x:c r="G115" s="112" t="n">
        <x:f>IF('Sessions'!B111="",0,IF(COUNTIF('Participants'!$A$5:$A$204,'Sessions'!B111)=0,1,0))</x:f>
        <x:v>0</x:v>
      </x:c>
      <x:c r="H115" s="112" t="n">
        <x:f>IF('Attempts'!B111="",0,IF(COUNTIF('Sessions'!$A$5:$A$204,'Attempts'!B111)=0,1,0))</x:f>
        <x:v>0</x:v>
      </x:c>
      <x:c r="I115" s="112" t="n">
        <x:f>IF('Sessions'!A111="",0,IF(COUNTIF('Expert Labels'!$B$5:$B$204,'Sessions'!A111)=0,1,0))</x:f>
        <x:v>0</x:v>
      </x:c>
      <x:c r="J115" s="112" t="n">
        <x:f>IF('Expert Labels'!B111="",0,IF(COUNTIF('Expert Labels'!$B$5:$B$204,'Expert Labels'!B111)&gt;1,1,0))</x:f>
        <x:v>0</x:v>
      </x:c>
      <x:c r="K115" s="112" t="n">
        <x:f>IF('Expert Labels'!B111="",0,IF(COUNTIF('Sessions'!$A$5:$A$204,'Expert Labels'!B111)=0,1,0))</x:f>
        <x:v>0</x:v>
      </x:c>
      <x:c r="L115" s="112" t="n">
        <x:f>IF('Session Training Data'!A111="",0,IF(COUNTIF('Sessions'!$A$5:$A$204,'Session Training Data'!A111)=0,1,0))</x:f>
        <x:v>0</x:v>
      </x:c>
      <x:c r="M115" s="112" t="n">
        <x:f>IF('Session Training Data'!AF111="",0,IF(COUNTIF('Participants'!$A$5:$A$204,'Session Training Data'!AF111)=0,1,0))</x:f>
        <x:v>0</x:v>
      </x:c>
      <x:c r="N115" s="112" t="n">
        <x:f>IF(OR('Session Training Data'!A111="",'Session Training Data'!AF111=""),0,IF(COUNTIFS('Sessions'!$A$5:$A$204,'Session Training Data'!A111,'Sessions'!$B$5:$B$204,'Session Training Data'!AF111)=0,1,0))</x:f>
        <x:v>0</x:v>
      </x:c>
      <x:c r="O115" s="112" t="n">
        <x:f>IF('Session Training Data'!AF111="",0,IF(COUNTIFS('Participants'!$A$5:$A$204,'Session Training Data'!AF111,'Participants'!$D$5:$D$204,"yes")=0,1,0))</x:f>
        <x:v>0</x:v>
      </x:c>
      <x:c r="P115" s="112" t="n">
        <x:f>IF('Session Training Data'!AF111="",0,IF(COUNTIF('Session Training Data'!$AF$5:AF111,'Session Training Data'!AF111)=1,1,0))</x:f>
        <x:v>0</x:v>
      </x:c>
      <x:c r="Q115" s="112" t="n">
        <x:f>IF('Participants'!A111="",0,IF(COUNTIF('Participants'!$A$5:$A$204,'Participants'!A111)&gt;1,1,0))</x:f>
        <x:v>0</x:v>
      </x:c>
      <x:c r="R115" s="112" t="n">
        <x:f>IF('Sessions'!A111="",0,IF(COUNTIF('Sessions'!$A$5:$A$204,'Sessions'!A111)&gt;1,1,0))</x:f>
        <x:v>0</x:v>
      </x:c>
      <x:c r="S115" s="112" t="n">
        <x:f>IF('Attempts'!A111="",0,IF(COUNTIF('Attempts'!$A$5:$A$204,'Attempts'!A111)&gt;1,1,0))</x:f>
        <x:v>0</x:v>
      </x:c>
      <x:c r="T115" s="112" t="n">
        <x:f>IF('Session Training Data'!A111="",0,IF(COUNTIF('Session Training Data'!$A$5:$A$204,'Session Training Data'!A111)&gt;1,1,0))</x:f>
        <x:v>0</x:v>
      </x:c>
    </x:row>
    <x:row r="116">
      <x:c r="G116" s="112" t="n">
        <x:f>IF('Sessions'!B112="",0,IF(COUNTIF('Participants'!$A$5:$A$204,'Sessions'!B112)=0,1,0))</x:f>
        <x:v>0</x:v>
      </x:c>
      <x:c r="H116" s="112" t="n">
        <x:f>IF('Attempts'!B112="",0,IF(COUNTIF('Sessions'!$A$5:$A$204,'Attempts'!B112)=0,1,0))</x:f>
        <x:v>0</x:v>
      </x:c>
      <x:c r="I116" s="112" t="n">
        <x:f>IF('Sessions'!A112="",0,IF(COUNTIF('Expert Labels'!$B$5:$B$204,'Sessions'!A112)=0,1,0))</x:f>
        <x:v>0</x:v>
      </x:c>
      <x:c r="J116" s="112" t="n">
        <x:f>IF('Expert Labels'!B112="",0,IF(COUNTIF('Expert Labels'!$B$5:$B$204,'Expert Labels'!B112)&gt;1,1,0))</x:f>
        <x:v>0</x:v>
      </x:c>
      <x:c r="K116" s="112" t="n">
        <x:f>IF('Expert Labels'!B112="",0,IF(COUNTIF('Sessions'!$A$5:$A$204,'Expert Labels'!B112)=0,1,0))</x:f>
        <x:v>0</x:v>
      </x:c>
      <x:c r="L116" s="112" t="n">
        <x:f>IF('Session Training Data'!A112="",0,IF(COUNTIF('Sessions'!$A$5:$A$204,'Session Training Data'!A112)=0,1,0))</x:f>
        <x:v>0</x:v>
      </x:c>
      <x:c r="M116" s="112" t="n">
        <x:f>IF('Session Training Data'!AF112="",0,IF(COUNTIF('Participants'!$A$5:$A$204,'Session Training Data'!AF112)=0,1,0))</x:f>
        <x:v>0</x:v>
      </x:c>
      <x:c r="N116" s="112" t="n">
        <x:f>IF(OR('Session Training Data'!A112="",'Session Training Data'!AF112=""),0,IF(COUNTIFS('Sessions'!$A$5:$A$204,'Session Training Data'!A112,'Sessions'!$B$5:$B$204,'Session Training Data'!AF112)=0,1,0))</x:f>
        <x:v>0</x:v>
      </x:c>
      <x:c r="O116" s="112" t="n">
        <x:f>IF('Session Training Data'!AF112="",0,IF(COUNTIFS('Participants'!$A$5:$A$204,'Session Training Data'!AF112,'Participants'!$D$5:$D$204,"yes")=0,1,0))</x:f>
        <x:v>0</x:v>
      </x:c>
      <x:c r="P116" s="112" t="n">
        <x:f>IF('Session Training Data'!AF112="",0,IF(COUNTIF('Session Training Data'!$AF$5:AF112,'Session Training Data'!AF112)=1,1,0))</x:f>
        <x:v>0</x:v>
      </x:c>
      <x:c r="Q116" s="112" t="n">
        <x:f>IF('Participants'!A112="",0,IF(COUNTIF('Participants'!$A$5:$A$204,'Participants'!A112)&gt;1,1,0))</x:f>
        <x:v>0</x:v>
      </x:c>
      <x:c r="R116" s="112" t="n">
        <x:f>IF('Sessions'!A112="",0,IF(COUNTIF('Sessions'!$A$5:$A$204,'Sessions'!A112)&gt;1,1,0))</x:f>
        <x:v>0</x:v>
      </x:c>
      <x:c r="S116" s="112" t="n">
        <x:f>IF('Attempts'!A112="",0,IF(COUNTIF('Attempts'!$A$5:$A$204,'Attempts'!A112)&gt;1,1,0))</x:f>
        <x:v>0</x:v>
      </x:c>
      <x:c r="T116" s="112" t="n">
        <x:f>IF('Session Training Data'!A112="",0,IF(COUNTIF('Session Training Data'!$A$5:$A$204,'Session Training Data'!A112)&gt;1,1,0))</x:f>
        <x:v>0</x:v>
      </x:c>
    </x:row>
    <x:row r="117">
      <x:c r="G117" s="112" t="n">
        <x:f>IF('Sessions'!B113="",0,IF(COUNTIF('Participants'!$A$5:$A$204,'Sessions'!B113)=0,1,0))</x:f>
        <x:v>0</x:v>
      </x:c>
      <x:c r="H117" s="112" t="n">
        <x:f>IF('Attempts'!B113="",0,IF(COUNTIF('Sessions'!$A$5:$A$204,'Attempts'!B113)=0,1,0))</x:f>
        <x:v>0</x:v>
      </x:c>
      <x:c r="I117" s="112" t="n">
        <x:f>IF('Sessions'!A113="",0,IF(COUNTIF('Expert Labels'!$B$5:$B$204,'Sessions'!A113)=0,1,0))</x:f>
        <x:v>0</x:v>
      </x:c>
      <x:c r="J117" s="112" t="n">
        <x:f>IF('Expert Labels'!B113="",0,IF(COUNTIF('Expert Labels'!$B$5:$B$204,'Expert Labels'!B113)&gt;1,1,0))</x:f>
        <x:v>0</x:v>
      </x:c>
      <x:c r="K117" s="112" t="n">
        <x:f>IF('Expert Labels'!B113="",0,IF(COUNTIF('Sessions'!$A$5:$A$204,'Expert Labels'!B113)=0,1,0))</x:f>
        <x:v>0</x:v>
      </x:c>
      <x:c r="L117" s="112" t="n">
        <x:f>IF('Session Training Data'!A113="",0,IF(COUNTIF('Sessions'!$A$5:$A$204,'Session Training Data'!A113)=0,1,0))</x:f>
        <x:v>0</x:v>
      </x:c>
      <x:c r="M117" s="112" t="n">
        <x:f>IF('Session Training Data'!AF113="",0,IF(COUNTIF('Participants'!$A$5:$A$204,'Session Training Data'!AF113)=0,1,0))</x:f>
        <x:v>0</x:v>
      </x:c>
      <x:c r="N117" s="112" t="n">
        <x:f>IF(OR('Session Training Data'!A113="",'Session Training Data'!AF113=""),0,IF(COUNTIFS('Sessions'!$A$5:$A$204,'Session Training Data'!A113,'Sessions'!$B$5:$B$204,'Session Training Data'!AF113)=0,1,0))</x:f>
        <x:v>0</x:v>
      </x:c>
      <x:c r="O117" s="112" t="n">
        <x:f>IF('Session Training Data'!AF113="",0,IF(COUNTIFS('Participants'!$A$5:$A$204,'Session Training Data'!AF113,'Participants'!$D$5:$D$204,"yes")=0,1,0))</x:f>
        <x:v>0</x:v>
      </x:c>
      <x:c r="P117" s="112" t="n">
        <x:f>IF('Session Training Data'!AF113="",0,IF(COUNTIF('Session Training Data'!$AF$5:AF113,'Session Training Data'!AF113)=1,1,0))</x:f>
        <x:v>0</x:v>
      </x:c>
      <x:c r="Q117" s="112" t="n">
        <x:f>IF('Participants'!A113="",0,IF(COUNTIF('Participants'!$A$5:$A$204,'Participants'!A113)&gt;1,1,0))</x:f>
        <x:v>0</x:v>
      </x:c>
      <x:c r="R117" s="112" t="n">
        <x:f>IF('Sessions'!A113="",0,IF(COUNTIF('Sessions'!$A$5:$A$204,'Sessions'!A113)&gt;1,1,0))</x:f>
        <x:v>0</x:v>
      </x:c>
      <x:c r="S117" s="112" t="n">
        <x:f>IF('Attempts'!A113="",0,IF(COUNTIF('Attempts'!$A$5:$A$204,'Attempts'!A113)&gt;1,1,0))</x:f>
        <x:v>0</x:v>
      </x:c>
      <x:c r="T117" s="112" t="n">
        <x:f>IF('Session Training Data'!A113="",0,IF(COUNTIF('Session Training Data'!$A$5:$A$204,'Session Training Data'!A113)&gt;1,1,0))</x:f>
        <x:v>0</x:v>
      </x:c>
    </x:row>
    <x:row r="118">
      <x:c r="G118" s="112" t="n">
        <x:f>IF('Sessions'!B114="",0,IF(COUNTIF('Participants'!$A$5:$A$204,'Sessions'!B114)=0,1,0))</x:f>
        <x:v>0</x:v>
      </x:c>
      <x:c r="H118" s="112" t="n">
        <x:f>IF('Attempts'!B114="",0,IF(COUNTIF('Sessions'!$A$5:$A$204,'Attempts'!B114)=0,1,0))</x:f>
        <x:v>0</x:v>
      </x:c>
      <x:c r="I118" s="112" t="n">
        <x:f>IF('Sessions'!A114="",0,IF(COUNTIF('Expert Labels'!$B$5:$B$204,'Sessions'!A114)=0,1,0))</x:f>
        <x:v>0</x:v>
      </x:c>
      <x:c r="J118" s="112" t="n">
        <x:f>IF('Expert Labels'!B114="",0,IF(COUNTIF('Expert Labels'!$B$5:$B$204,'Expert Labels'!B114)&gt;1,1,0))</x:f>
        <x:v>0</x:v>
      </x:c>
      <x:c r="K118" s="112" t="n">
        <x:f>IF('Expert Labels'!B114="",0,IF(COUNTIF('Sessions'!$A$5:$A$204,'Expert Labels'!B114)=0,1,0))</x:f>
        <x:v>0</x:v>
      </x:c>
      <x:c r="L118" s="112" t="n">
        <x:f>IF('Session Training Data'!A114="",0,IF(COUNTIF('Sessions'!$A$5:$A$204,'Session Training Data'!A114)=0,1,0))</x:f>
        <x:v>0</x:v>
      </x:c>
      <x:c r="M118" s="112" t="n">
        <x:f>IF('Session Training Data'!AF114="",0,IF(COUNTIF('Participants'!$A$5:$A$204,'Session Training Data'!AF114)=0,1,0))</x:f>
        <x:v>0</x:v>
      </x:c>
      <x:c r="N118" s="112" t="n">
        <x:f>IF(OR('Session Training Data'!A114="",'Session Training Data'!AF114=""),0,IF(COUNTIFS('Sessions'!$A$5:$A$204,'Session Training Data'!A114,'Sessions'!$B$5:$B$204,'Session Training Data'!AF114)=0,1,0))</x:f>
        <x:v>0</x:v>
      </x:c>
      <x:c r="O118" s="112" t="n">
        <x:f>IF('Session Training Data'!AF114="",0,IF(COUNTIFS('Participants'!$A$5:$A$204,'Session Training Data'!AF114,'Participants'!$D$5:$D$204,"yes")=0,1,0))</x:f>
        <x:v>0</x:v>
      </x:c>
      <x:c r="P118" s="112" t="n">
        <x:f>IF('Session Training Data'!AF114="",0,IF(COUNTIF('Session Training Data'!$AF$5:AF114,'Session Training Data'!AF114)=1,1,0))</x:f>
        <x:v>0</x:v>
      </x:c>
      <x:c r="Q118" s="112" t="n">
        <x:f>IF('Participants'!A114="",0,IF(COUNTIF('Participants'!$A$5:$A$204,'Participants'!A114)&gt;1,1,0))</x:f>
        <x:v>0</x:v>
      </x:c>
      <x:c r="R118" s="112" t="n">
        <x:f>IF('Sessions'!A114="",0,IF(COUNTIF('Sessions'!$A$5:$A$204,'Sessions'!A114)&gt;1,1,0))</x:f>
        <x:v>0</x:v>
      </x:c>
      <x:c r="S118" s="112" t="n">
        <x:f>IF('Attempts'!A114="",0,IF(COUNTIF('Attempts'!$A$5:$A$204,'Attempts'!A114)&gt;1,1,0))</x:f>
        <x:v>0</x:v>
      </x:c>
      <x:c r="T118" s="112" t="n">
        <x:f>IF('Session Training Data'!A114="",0,IF(COUNTIF('Session Training Data'!$A$5:$A$204,'Session Training Data'!A114)&gt;1,1,0))</x:f>
        <x:v>0</x:v>
      </x:c>
    </x:row>
    <x:row r="119">
      <x:c r="G119" s="112" t="n">
        <x:f>IF('Sessions'!B115="",0,IF(COUNTIF('Participants'!$A$5:$A$204,'Sessions'!B115)=0,1,0))</x:f>
        <x:v>0</x:v>
      </x:c>
      <x:c r="H119" s="112" t="n">
        <x:f>IF('Attempts'!B115="",0,IF(COUNTIF('Sessions'!$A$5:$A$204,'Attempts'!B115)=0,1,0))</x:f>
        <x:v>0</x:v>
      </x:c>
      <x:c r="I119" s="112" t="n">
        <x:f>IF('Sessions'!A115="",0,IF(COUNTIF('Expert Labels'!$B$5:$B$204,'Sessions'!A115)=0,1,0))</x:f>
        <x:v>0</x:v>
      </x:c>
      <x:c r="J119" s="112" t="n">
        <x:f>IF('Expert Labels'!B115="",0,IF(COUNTIF('Expert Labels'!$B$5:$B$204,'Expert Labels'!B115)&gt;1,1,0))</x:f>
        <x:v>0</x:v>
      </x:c>
      <x:c r="K119" s="112" t="n">
        <x:f>IF('Expert Labels'!B115="",0,IF(COUNTIF('Sessions'!$A$5:$A$204,'Expert Labels'!B115)=0,1,0))</x:f>
        <x:v>0</x:v>
      </x:c>
      <x:c r="L119" s="112" t="n">
        <x:f>IF('Session Training Data'!A115="",0,IF(COUNTIF('Sessions'!$A$5:$A$204,'Session Training Data'!A115)=0,1,0))</x:f>
        <x:v>0</x:v>
      </x:c>
      <x:c r="M119" s="112" t="n">
        <x:f>IF('Session Training Data'!AF115="",0,IF(COUNTIF('Participants'!$A$5:$A$204,'Session Training Data'!AF115)=0,1,0))</x:f>
        <x:v>0</x:v>
      </x:c>
      <x:c r="N119" s="112" t="n">
        <x:f>IF(OR('Session Training Data'!A115="",'Session Training Data'!AF115=""),0,IF(COUNTIFS('Sessions'!$A$5:$A$204,'Session Training Data'!A115,'Sessions'!$B$5:$B$204,'Session Training Data'!AF115)=0,1,0))</x:f>
        <x:v>0</x:v>
      </x:c>
      <x:c r="O119" s="112" t="n">
        <x:f>IF('Session Training Data'!AF115="",0,IF(COUNTIFS('Participants'!$A$5:$A$204,'Session Training Data'!AF115,'Participants'!$D$5:$D$204,"yes")=0,1,0))</x:f>
        <x:v>0</x:v>
      </x:c>
      <x:c r="P119" s="112" t="n">
        <x:f>IF('Session Training Data'!AF115="",0,IF(COUNTIF('Session Training Data'!$AF$5:AF115,'Session Training Data'!AF115)=1,1,0))</x:f>
        <x:v>0</x:v>
      </x:c>
      <x:c r="Q119" s="112" t="n">
        <x:f>IF('Participants'!A115="",0,IF(COUNTIF('Participants'!$A$5:$A$204,'Participants'!A115)&gt;1,1,0))</x:f>
        <x:v>0</x:v>
      </x:c>
      <x:c r="R119" s="112" t="n">
        <x:f>IF('Sessions'!A115="",0,IF(COUNTIF('Sessions'!$A$5:$A$204,'Sessions'!A115)&gt;1,1,0))</x:f>
        <x:v>0</x:v>
      </x:c>
      <x:c r="S119" s="112" t="n">
        <x:f>IF('Attempts'!A115="",0,IF(COUNTIF('Attempts'!$A$5:$A$204,'Attempts'!A115)&gt;1,1,0))</x:f>
        <x:v>0</x:v>
      </x:c>
      <x:c r="T119" s="112" t="n">
        <x:f>IF('Session Training Data'!A115="",0,IF(COUNTIF('Session Training Data'!$A$5:$A$204,'Session Training Data'!A115)&gt;1,1,0))</x:f>
        <x:v>0</x:v>
      </x:c>
    </x:row>
    <x:row r="120">
      <x:c r="G120" s="112" t="n">
        <x:f>IF('Sessions'!B116="",0,IF(COUNTIF('Participants'!$A$5:$A$204,'Sessions'!B116)=0,1,0))</x:f>
        <x:v>0</x:v>
      </x:c>
      <x:c r="H120" s="112" t="n">
        <x:f>IF('Attempts'!B116="",0,IF(COUNTIF('Sessions'!$A$5:$A$204,'Attempts'!B116)=0,1,0))</x:f>
        <x:v>0</x:v>
      </x:c>
      <x:c r="I120" s="112" t="n">
        <x:f>IF('Sessions'!A116="",0,IF(COUNTIF('Expert Labels'!$B$5:$B$204,'Sessions'!A116)=0,1,0))</x:f>
        <x:v>0</x:v>
      </x:c>
      <x:c r="J120" s="112" t="n">
        <x:f>IF('Expert Labels'!B116="",0,IF(COUNTIF('Expert Labels'!$B$5:$B$204,'Expert Labels'!B116)&gt;1,1,0))</x:f>
        <x:v>0</x:v>
      </x:c>
      <x:c r="K120" s="112" t="n">
        <x:f>IF('Expert Labels'!B116="",0,IF(COUNTIF('Sessions'!$A$5:$A$204,'Expert Labels'!B116)=0,1,0))</x:f>
        <x:v>0</x:v>
      </x:c>
      <x:c r="L120" s="112" t="n">
        <x:f>IF('Session Training Data'!A116="",0,IF(COUNTIF('Sessions'!$A$5:$A$204,'Session Training Data'!A116)=0,1,0))</x:f>
        <x:v>0</x:v>
      </x:c>
      <x:c r="M120" s="112" t="n">
        <x:f>IF('Session Training Data'!AF116="",0,IF(COUNTIF('Participants'!$A$5:$A$204,'Session Training Data'!AF116)=0,1,0))</x:f>
        <x:v>0</x:v>
      </x:c>
      <x:c r="N120" s="112" t="n">
        <x:f>IF(OR('Session Training Data'!A116="",'Session Training Data'!AF116=""),0,IF(COUNTIFS('Sessions'!$A$5:$A$204,'Session Training Data'!A116,'Sessions'!$B$5:$B$204,'Session Training Data'!AF116)=0,1,0))</x:f>
        <x:v>0</x:v>
      </x:c>
      <x:c r="O120" s="112" t="n">
        <x:f>IF('Session Training Data'!AF116="",0,IF(COUNTIFS('Participants'!$A$5:$A$204,'Session Training Data'!AF116,'Participants'!$D$5:$D$204,"yes")=0,1,0))</x:f>
        <x:v>0</x:v>
      </x:c>
      <x:c r="P120" s="112" t="n">
        <x:f>IF('Session Training Data'!AF116="",0,IF(COUNTIF('Session Training Data'!$AF$5:AF116,'Session Training Data'!AF116)=1,1,0))</x:f>
        <x:v>0</x:v>
      </x:c>
      <x:c r="Q120" s="112" t="n">
        <x:f>IF('Participants'!A116="",0,IF(COUNTIF('Participants'!$A$5:$A$204,'Participants'!A116)&gt;1,1,0))</x:f>
        <x:v>0</x:v>
      </x:c>
      <x:c r="R120" s="112" t="n">
        <x:f>IF('Sessions'!A116="",0,IF(COUNTIF('Sessions'!$A$5:$A$204,'Sessions'!A116)&gt;1,1,0))</x:f>
        <x:v>0</x:v>
      </x:c>
      <x:c r="S120" s="112" t="n">
        <x:f>IF('Attempts'!A116="",0,IF(COUNTIF('Attempts'!$A$5:$A$204,'Attempts'!A116)&gt;1,1,0))</x:f>
        <x:v>0</x:v>
      </x:c>
      <x:c r="T120" s="112" t="n">
        <x:f>IF('Session Training Data'!A116="",0,IF(COUNTIF('Session Training Data'!$A$5:$A$204,'Session Training Data'!A116)&gt;1,1,0))</x:f>
        <x:v>0</x:v>
      </x:c>
    </x:row>
    <x:row r="121">
      <x:c r="G121" s="112" t="n">
        <x:f>IF('Sessions'!B117="",0,IF(COUNTIF('Participants'!$A$5:$A$204,'Sessions'!B117)=0,1,0))</x:f>
        <x:v>0</x:v>
      </x:c>
      <x:c r="H121" s="112" t="n">
        <x:f>IF('Attempts'!B117="",0,IF(COUNTIF('Sessions'!$A$5:$A$204,'Attempts'!B117)=0,1,0))</x:f>
        <x:v>0</x:v>
      </x:c>
      <x:c r="I121" s="112" t="n">
        <x:f>IF('Sessions'!A117="",0,IF(COUNTIF('Expert Labels'!$B$5:$B$204,'Sessions'!A117)=0,1,0))</x:f>
        <x:v>0</x:v>
      </x:c>
      <x:c r="J121" s="112" t="n">
        <x:f>IF('Expert Labels'!B117="",0,IF(COUNTIF('Expert Labels'!$B$5:$B$204,'Expert Labels'!B117)&gt;1,1,0))</x:f>
        <x:v>0</x:v>
      </x:c>
      <x:c r="K121" s="112" t="n">
        <x:f>IF('Expert Labels'!B117="",0,IF(COUNTIF('Sessions'!$A$5:$A$204,'Expert Labels'!B117)=0,1,0))</x:f>
        <x:v>0</x:v>
      </x:c>
      <x:c r="L121" s="112" t="n">
        <x:f>IF('Session Training Data'!A117="",0,IF(COUNTIF('Sessions'!$A$5:$A$204,'Session Training Data'!A117)=0,1,0))</x:f>
        <x:v>0</x:v>
      </x:c>
      <x:c r="M121" s="112" t="n">
        <x:f>IF('Session Training Data'!AF117="",0,IF(COUNTIF('Participants'!$A$5:$A$204,'Session Training Data'!AF117)=0,1,0))</x:f>
        <x:v>0</x:v>
      </x:c>
      <x:c r="N121" s="112" t="n">
        <x:f>IF(OR('Session Training Data'!A117="",'Session Training Data'!AF117=""),0,IF(COUNTIFS('Sessions'!$A$5:$A$204,'Session Training Data'!A117,'Sessions'!$B$5:$B$204,'Session Training Data'!AF117)=0,1,0))</x:f>
        <x:v>0</x:v>
      </x:c>
      <x:c r="O121" s="112" t="n">
        <x:f>IF('Session Training Data'!AF117="",0,IF(COUNTIFS('Participants'!$A$5:$A$204,'Session Training Data'!AF117,'Participants'!$D$5:$D$204,"yes")=0,1,0))</x:f>
        <x:v>0</x:v>
      </x:c>
      <x:c r="P121" s="112" t="n">
        <x:f>IF('Session Training Data'!AF117="",0,IF(COUNTIF('Session Training Data'!$AF$5:AF117,'Session Training Data'!AF117)=1,1,0))</x:f>
        <x:v>0</x:v>
      </x:c>
      <x:c r="Q121" s="112" t="n">
        <x:f>IF('Participants'!A117="",0,IF(COUNTIF('Participants'!$A$5:$A$204,'Participants'!A117)&gt;1,1,0))</x:f>
        <x:v>0</x:v>
      </x:c>
      <x:c r="R121" s="112" t="n">
        <x:f>IF('Sessions'!A117="",0,IF(COUNTIF('Sessions'!$A$5:$A$204,'Sessions'!A117)&gt;1,1,0))</x:f>
        <x:v>0</x:v>
      </x:c>
      <x:c r="S121" s="112" t="n">
        <x:f>IF('Attempts'!A117="",0,IF(COUNTIF('Attempts'!$A$5:$A$204,'Attempts'!A117)&gt;1,1,0))</x:f>
        <x:v>0</x:v>
      </x:c>
      <x:c r="T121" s="112" t="n">
        <x:f>IF('Session Training Data'!A117="",0,IF(COUNTIF('Session Training Data'!$A$5:$A$204,'Session Training Data'!A117)&gt;1,1,0))</x:f>
        <x:v>0</x:v>
      </x:c>
    </x:row>
    <x:row r="122">
      <x:c r="G122" s="112" t="n">
        <x:f>IF('Sessions'!B118="",0,IF(COUNTIF('Participants'!$A$5:$A$204,'Sessions'!B118)=0,1,0))</x:f>
        <x:v>0</x:v>
      </x:c>
      <x:c r="H122" s="112" t="n">
        <x:f>IF('Attempts'!B118="",0,IF(COUNTIF('Sessions'!$A$5:$A$204,'Attempts'!B118)=0,1,0))</x:f>
        <x:v>0</x:v>
      </x:c>
      <x:c r="I122" s="112" t="n">
        <x:f>IF('Sessions'!A118="",0,IF(COUNTIF('Expert Labels'!$B$5:$B$204,'Sessions'!A118)=0,1,0))</x:f>
        <x:v>0</x:v>
      </x:c>
      <x:c r="J122" s="112" t="n">
        <x:f>IF('Expert Labels'!B118="",0,IF(COUNTIF('Expert Labels'!$B$5:$B$204,'Expert Labels'!B118)&gt;1,1,0))</x:f>
        <x:v>0</x:v>
      </x:c>
      <x:c r="K122" s="112" t="n">
        <x:f>IF('Expert Labels'!B118="",0,IF(COUNTIF('Sessions'!$A$5:$A$204,'Expert Labels'!B118)=0,1,0))</x:f>
        <x:v>0</x:v>
      </x:c>
      <x:c r="L122" s="112" t="n">
        <x:f>IF('Session Training Data'!A118="",0,IF(COUNTIF('Sessions'!$A$5:$A$204,'Session Training Data'!A118)=0,1,0))</x:f>
        <x:v>0</x:v>
      </x:c>
      <x:c r="M122" s="112" t="n">
        <x:f>IF('Session Training Data'!AF118="",0,IF(COUNTIF('Participants'!$A$5:$A$204,'Session Training Data'!AF118)=0,1,0))</x:f>
        <x:v>0</x:v>
      </x:c>
      <x:c r="N122" s="112" t="n">
        <x:f>IF(OR('Session Training Data'!A118="",'Session Training Data'!AF118=""),0,IF(COUNTIFS('Sessions'!$A$5:$A$204,'Session Training Data'!A118,'Sessions'!$B$5:$B$204,'Session Training Data'!AF118)=0,1,0))</x:f>
        <x:v>0</x:v>
      </x:c>
      <x:c r="O122" s="112" t="n">
        <x:f>IF('Session Training Data'!AF118="",0,IF(COUNTIFS('Participants'!$A$5:$A$204,'Session Training Data'!AF118,'Participants'!$D$5:$D$204,"yes")=0,1,0))</x:f>
        <x:v>0</x:v>
      </x:c>
      <x:c r="P122" s="112" t="n">
        <x:f>IF('Session Training Data'!AF118="",0,IF(COUNTIF('Session Training Data'!$AF$5:AF118,'Session Training Data'!AF118)=1,1,0))</x:f>
        <x:v>0</x:v>
      </x:c>
      <x:c r="Q122" s="112" t="n">
        <x:f>IF('Participants'!A118="",0,IF(COUNTIF('Participants'!$A$5:$A$204,'Participants'!A118)&gt;1,1,0))</x:f>
        <x:v>0</x:v>
      </x:c>
      <x:c r="R122" s="112" t="n">
        <x:f>IF('Sessions'!A118="",0,IF(COUNTIF('Sessions'!$A$5:$A$204,'Sessions'!A118)&gt;1,1,0))</x:f>
        <x:v>0</x:v>
      </x:c>
      <x:c r="S122" s="112" t="n">
        <x:f>IF('Attempts'!A118="",0,IF(COUNTIF('Attempts'!$A$5:$A$204,'Attempts'!A118)&gt;1,1,0))</x:f>
        <x:v>0</x:v>
      </x:c>
      <x:c r="T122" s="112" t="n">
        <x:f>IF('Session Training Data'!A118="",0,IF(COUNTIF('Session Training Data'!$A$5:$A$204,'Session Training Data'!A118)&gt;1,1,0))</x:f>
        <x:v>0</x:v>
      </x:c>
    </x:row>
    <x:row r="123">
      <x:c r="G123" s="112" t="n">
        <x:f>IF('Sessions'!B119="",0,IF(COUNTIF('Participants'!$A$5:$A$204,'Sessions'!B119)=0,1,0))</x:f>
        <x:v>0</x:v>
      </x:c>
      <x:c r="H123" s="112" t="n">
        <x:f>IF('Attempts'!B119="",0,IF(COUNTIF('Sessions'!$A$5:$A$204,'Attempts'!B119)=0,1,0))</x:f>
        <x:v>0</x:v>
      </x:c>
      <x:c r="I123" s="112" t="n">
        <x:f>IF('Sessions'!A119="",0,IF(COUNTIF('Expert Labels'!$B$5:$B$204,'Sessions'!A119)=0,1,0))</x:f>
        <x:v>0</x:v>
      </x:c>
      <x:c r="J123" s="112" t="n">
        <x:f>IF('Expert Labels'!B119="",0,IF(COUNTIF('Expert Labels'!$B$5:$B$204,'Expert Labels'!B119)&gt;1,1,0))</x:f>
        <x:v>0</x:v>
      </x:c>
      <x:c r="K123" s="112" t="n">
        <x:f>IF('Expert Labels'!B119="",0,IF(COUNTIF('Sessions'!$A$5:$A$204,'Expert Labels'!B119)=0,1,0))</x:f>
        <x:v>0</x:v>
      </x:c>
      <x:c r="L123" s="112" t="n">
        <x:f>IF('Session Training Data'!A119="",0,IF(COUNTIF('Sessions'!$A$5:$A$204,'Session Training Data'!A119)=0,1,0))</x:f>
        <x:v>0</x:v>
      </x:c>
      <x:c r="M123" s="112" t="n">
        <x:f>IF('Session Training Data'!AF119="",0,IF(COUNTIF('Participants'!$A$5:$A$204,'Session Training Data'!AF119)=0,1,0))</x:f>
        <x:v>0</x:v>
      </x:c>
      <x:c r="N123" s="112" t="n">
        <x:f>IF(OR('Session Training Data'!A119="",'Session Training Data'!AF119=""),0,IF(COUNTIFS('Sessions'!$A$5:$A$204,'Session Training Data'!A119,'Sessions'!$B$5:$B$204,'Session Training Data'!AF119)=0,1,0))</x:f>
        <x:v>0</x:v>
      </x:c>
      <x:c r="O123" s="112" t="n">
        <x:f>IF('Session Training Data'!AF119="",0,IF(COUNTIFS('Participants'!$A$5:$A$204,'Session Training Data'!AF119,'Participants'!$D$5:$D$204,"yes")=0,1,0))</x:f>
        <x:v>0</x:v>
      </x:c>
      <x:c r="P123" s="112" t="n">
        <x:f>IF('Session Training Data'!AF119="",0,IF(COUNTIF('Session Training Data'!$AF$5:AF119,'Session Training Data'!AF119)=1,1,0))</x:f>
        <x:v>0</x:v>
      </x:c>
      <x:c r="Q123" s="112" t="n">
        <x:f>IF('Participants'!A119="",0,IF(COUNTIF('Participants'!$A$5:$A$204,'Participants'!A119)&gt;1,1,0))</x:f>
        <x:v>0</x:v>
      </x:c>
      <x:c r="R123" s="112" t="n">
        <x:f>IF('Sessions'!A119="",0,IF(COUNTIF('Sessions'!$A$5:$A$204,'Sessions'!A119)&gt;1,1,0))</x:f>
        <x:v>0</x:v>
      </x:c>
      <x:c r="S123" s="112" t="n">
        <x:f>IF('Attempts'!A119="",0,IF(COUNTIF('Attempts'!$A$5:$A$204,'Attempts'!A119)&gt;1,1,0))</x:f>
        <x:v>0</x:v>
      </x:c>
      <x:c r="T123" s="112" t="n">
        <x:f>IF('Session Training Data'!A119="",0,IF(COUNTIF('Session Training Data'!$A$5:$A$204,'Session Training Data'!A119)&gt;1,1,0))</x:f>
        <x:v>0</x:v>
      </x:c>
    </x:row>
    <x:row r="124">
      <x:c r="G124" s="112" t="n">
        <x:f>IF('Sessions'!B120="",0,IF(COUNTIF('Participants'!$A$5:$A$204,'Sessions'!B120)=0,1,0))</x:f>
        <x:v>0</x:v>
      </x:c>
      <x:c r="H124" s="112" t="n">
        <x:f>IF('Attempts'!B120="",0,IF(COUNTIF('Sessions'!$A$5:$A$204,'Attempts'!B120)=0,1,0))</x:f>
        <x:v>0</x:v>
      </x:c>
      <x:c r="I124" s="112" t="n">
        <x:f>IF('Sessions'!A120="",0,IF(COUNTIF('Expert Labels'!$B$5:$B$204,'Sessions'!A120)=0,1,0))</x:f>
        <x:v>0</x:v>
      </x:c>
      <x:c r="J124" s="112" t="n">
        <x:f>IF('Expert Labels'!B120="",0,IF(COUNTIF('Expert Labels'!$B$5:$B$204,'Expert Labels'!B120)&gt;1,1,0))</x:f>
        <x:v>0</x:v>
      </x:c>
      <x:c r="K124" s="112" t="n">
        <x:f>IF('Expert Labels'!B120="",0,IF(COUNTIF('Sessions'!$A$5:$A$204,'Expert Labels'!B120)=0,1,0))</x:f>
        <x:v>0</x:v>
      </x:c>
      <x:c r="L124" s="112" t="n">
        <x:f>IF('Session Training Data'!A120="",0,IF(COUNTIF('Sessions'!$A$5:$A$204,'Session Training Data'!A120)=0,1,0))</x:f>
        <x:v>0</x:v>
      </x:c>
      <x:c r="M124" s="112" t="n">
        <x:f>IF('Session Training Data'!AF120="",0,IF(COUNTIF('Participants'!$A$5:$A$204,'Session Training Data'!AF120)=0,1,0))</x:f>
        <x:v>0</x:v>
      </x:c>
      <x:c r="N124" s="112" t="n">
        <x:f>IF(OR('Session Training Data'!A120="",'Session Training Data'!AF120=""),0,IF(COUNTIFS('Sessions'!$A$5:$A$204,'Session Training Data'!A120,'Sessions'!$B$5:$B$204,'Session Training Data'!AF120)=0,1,0))</x:f>
        <x:v>0</x:v>
      </x:c>
      <x:c r="O124" s="112" t="n">
        <x:f>IF('Session Training Data'!AF120="",0,IF(COUNTIFS('Participants'!$A$5:$A$204,'Session Training Data'!AF120,'Participants'!$D$5:$D$204,"yes")=0,1,0))</x:f>
        <x:v>0</x:v>
      </x:c>
      <x:c r="P124" s="112" t="n">
        <x:f>IF('Session Training Data'!AF120="",0,IF(COUNTIF('Session Training Data'!$AF$5:AF120,'Session Training Data'!AF120)=1,1,0))</x:f>
        <x:v>0</x:v>
      </x:c>
      <x:c r="Q124" s="112" t="n">
        <x:f>IF('Participants'!A120="",0,IF(COUNTIF('Participants'!$A$5:$A$204,'Participants'!A120)&gt;1,1,0))</x:f>
        <x:v>0</x:v>
      </x:c>
      <x:c r="R124" s="112" t="n">
        <x:f>IF('Sessions'!A120="",0,IF(COUNTIF('Sessions'!$A$5:$A$204,'Sessions'!A120)&gt;1,1,0))</x:f>
        <x:v>0</x:v>
      </x:c>
      <x:c r="S124" s="112" t="n">
        <x:f>IF('Attempts'!A120="",0,IF(COUNTIF('Attempts'!$A$5:$A$204,'Attempts'!A120)&gt;1,1,0))</x:f>
        <x:v>0</x:v>
      </x:c>
      <x:c r="T124" s="112" t="n">
        <x:f>IF('Session Training Data'!A120="",0,IF(COUNTIF('Session Training Data'!$A$5:$A$204,'Session Training Data'!A120)&gt;1,1,0))</x:f>
        <x:v>0</x:v>
      </x:c>
    </x:row>
    <x:row r="125">
      <x:c r="G125" s="112" t="n">
        <x:f>IF('Sessions'!B121="",0,IF(COUNTIF('Participants'!$A$5:$A$204,'Sessions'!B121)=0,1,0))</x:f>
        <x:v>0</x:v>
      </x:c>
      <x:c r="H125" s="112" t="n">
        <x:f>IF('Attempts'!B121="",0,IF(COUNTIF('Sessions'!$A$5:$A$204,'Attempts'!B121)=0,1,0))</x:f>
        <x:v>0</x:v>
      </x:c>
      <x:c r="I125" s="112" t="n">
        <x:f>IF('Sessions'!A121="",0,IF(COUNTIF('Expert Labels'!$B$5:$B$204,'Sessions'!A121)=0,1,0))</x:f>
        <x:v>0</x:v>
      </x:c>
      <x:c r="J125" s="112" t="n">
        <x:f>IF('Expert Labels'!B121="",0,IF(COUNTIF('Expert Labels'!$B$5:$B$204,'Expert Labels'!B121)&gt;1,1,0))</x:f>
        <x:v>0</x:v>
      </x:c>
      <x:c r="K125" s="112" t="n">
        <x:f>IF('Expert Labels'!B121="",0,IF(COUNTIF('Sessions'!$A$5:$A$204,'Expert Labels'!B121)=0,1,0))</x:f>
        <x:v>0</x:v>
      </x:c>
      <x:c r="L125" s="112" t="n">
        <x:f>IF('Session Training Data'!A121="",0,IF(COUNTIF('Sessions'!$A$5:$A$204,'Session Training Data'!A121)=0,1,0))</x:f>
        <x:v>0</x:v>
      </x:c>
      <x:c r="M125" s="112" t="n">
        <x:f>IF('Session Training Data'!AF121="",0,IF(COUNTIF('Participants'!$A$5:$A$204,'Session Training Data'!AF121)=0,1,0))</x:f>
        <x:v>0</x:v>
      </x:c>
      <x:c r="N125" s="112" t="n">
        <x:f>IF(OR('Session Training Data'!A121="",'Session Training Data'!AF121=""),0,IF(COUNTIFS('Sessions'!$A$5:$A$204,'Session Training Data'!A121,'Sessions'!$B$5:$B$204,'Session Training Data'!AF121)=0,1,0))</x:f>
        <x:v>0</x:v>
      </x:c>
      <x:c r="O125" s="112" t="n">
        <x:f>IF('Session Training Data'!AF121="",0,IF(COUNTIFS('Participants'!$A$5:$A$204,'Session Training Data'!AF121,'Participants'!$D$5:$D$204,"yes")=0,1,0))</x:f>
        <x:v>0</x:v>
      </x:c>
      <x:c r="P125" s="112" t="n">
        <x:f>IF('Session Training Data'!AF121="",0,IF(COUNTIF('Session Training Data'!$AF$5:AF121,'Session Training Data'!AF121)=1,1,0))</x:f>
        <x:v>0</x:v>
      </x:c>
      <x:c r="Q125" s="112" t="n">
        <x:f>IF('Participants'!A121="",0,IF(COUNTIF('Participants'!$A$5:$A$204,'Participants'!A121)&gt;1,1,0))</x:f>
        <x:v>0</x:v>
      </x:c>
      <x:c r="R125" s="112" t="n">
        <x:f>IF('Sessions'!A121="",0,IF(COUNTIF('Sessions'!$A$5:$A$204,'Sessions'!A121)&gt;1,1,0))</x:f>
        <x:v>0</x:v>
      </x:c>
      <x:c r="S125" s="112" t="n">
        <x:f>IF('Attempts'!A121="",0,IF(COUNTIF('Attempts'!$A$5:$A$204,'Attempts'!A121)&gt;1,1,0))</x:f>
        <x:v>0</x:v>
      </x:c>
      <x:c r="T125" s="112" t="n">
        <x:f>IF('Session Training Data'!A121="",0,IF(COUNTIF('Session Training Data'!$A$5:$A$204,'Session Training Data'!A121)&gt;1,1,0))</x:f>
        <x:v>0</x:v>
      </x:c>
    </x:row>
    <x:row r="126">
      <x:c r="G126" s="112" t="n">
        <x:f>IF('Sessions'!B122="",0,IF(COUNTIF('Participants'!$A$5:$A$204,'Sessions'!B122)=0,1,0))</x:f>
        <x:v>0</x:v>
      </x:c>
      <x:c r="H126" s="112" t="n">
        <x:f>IF('Attempts'!B122="",0,IF(COUNTIF('Sessions'!$A$5:$A$204,'Attempts'!B122)=0,1,0))</x:f>
        <x:v>0</x:v>
      </x:c>
      <x:c r="I126" s="112" t="n">
        <x:f>IF('Sessions'!A122="",0,IF(COUNTIF('Expert Labels'!$B$5:$B$204,'Sessions'!A122)=0,1,0))</x:f>
        <x:v>0</x:v>
      </x:c>
      <x:c r="J126" s="112" t="n">
        <x:f>IF('Expert Labels'!B122="",0,IF(COUNTIF('Expert Labels'!$B$5:$B$204,'Expert Labels'!B122)&gt;1,1,0))</x:f>
        <x:v>0</x:v>
      </x:c>
      <x:c r="K126" s="112" t="n">
        <x:f>IF('Expert Labels'!B122="",0,IF(COUNTIF('Sessions'!$A$5:$A$204,'Expert Labels'!B122)=0,1,0))</x:f>
        <x:v>0</x:v>
      </x:c>
      <x:c r="L126" s="112" t="n">
        <x:f>IF('Session Training Data'!A122="",0,IF(COUNTIF('Sessions'!$A$5:$A$204,'Session Training Data'!A122)=0,1,0))</x:f>
        <x:v>0</x:v>
      </x:c>
      <x:c r="M126" s="112" t="n">
        <x:f>IF('Session Training Data'!AF122="",0,IF(COUNTIF('Participants'!$A$5:$A$204,'Session Training Data'!AF122)=0,1,0))</x:f>
        <x:v>0</x:v>
      </x:c>
      <x:c r="N126" s="112" t="n">
        <x:f>IF(OR('Session Training Data'!A122="",'Session Training Data'!AF122=""),0,IF(COUNTIFS('Sessions'!$A$5:$A$204,'Session Training Data'!A122,'Sessions'!$B$5:$B$204,'Session Training Data'!AF122)=0,1,0))</x:f>
        <x:v>0</x:v>
      </x:c>
      <x:c r="O126" s="112" t="n">
        <x:f>IF('Session Training Data'!AF122="",0,IF(COUNTIFS('Participants'!$A$5:$A$204,'Session Training Data'!AF122,'Participants'!$D$5:$D$204,"yes")=0,1,0))</x:f>
        <x:v>0</x:v>
      </x:c>
      <x:c r="P126" s="112" t="n">
        <x:f>IF('Session Training Data'!AF122="",0,IF(COUNTIF('Session Training Data'!$AF$5:AF122,'Session Training Data'!AF122)=1,1,0))</x:f>
        <x:v>0</x:v>
      </x:c>
      <x:c r="Q126" s="112" t="n">
        <x:f>IF('Participants'!A122="",0,IF(COUNTIF('Participants'!$A$5:$A$204,'Participants'!A122)&gt;1,1,0))</x:f>
        <x:v>0</x:v>
      </x:c>
      <x:c r="R126" s="112" t="n">
        <x:f>IF('Sessions'!A122="",0,IF(COUNTIF('Sessions'!$A$5:$A$204,'Sessions'!A122)&gt;1,1,0))</x:f>
        <x:v>0</x:v>
      </x:c>
      <x:c r="S126" s="112" t="n">
        <x:f>IF('Attempts'!A122="",0,IF(COUNTIF('Attempts'!$A$5:$A$204,'Attempts'!A122)&gt;1,1,0))</x:f>
        <x:v>0</x:v>
      </x:c>
      <x:c r="T126" s="112" t="n">
        <x:f>IF('Session Training Data'!A122="",0,IF(COUNTIF('Session Training Data'!$A$5:$A$204,'Session Training Data'!A122)&gt;1,1,0))</x:f>
        <x:v>0</x:v>
      </x:c>
    </x:row>
    <x:row r="127">
      <x:c r="G127" s="112" t="n">
        <x:f>IF('Sessions'!B123="",0,IF(COUNTIF('Participants'!$A$5:$A$204,'Sessions'!B123)=0,1,0))</x:f>
        <x:v>0</x:v>
      </x:c>
      <x:c r="H127" s="112" t="n">
        <x:f>IF('Attempts'!B123="",0,IF(COUNTIF('Sessions'!$A$5:$A$204,'Attempts'!B123)=0,1,0))</x:f>
        <x:v>0</x:v>
      </x:c>
      <x:c r="I127" s="112" t="n">
        <x:f>IF('Sessions'!A123="",0,IF(COUNTIF('Expert Labels'!$B$5:$B$204,'Sessions'!A123)=0,1,0))</x:f>
        <x:v>0</x:v>
      </x:c>
      <x:c r="J127" s="112" t="n">
        <x:f>IF('Expert Labels'!B123="",0,IF(COUNTIF('Expert Labels'!$B$5:$B$204,'Expert Labels'!B123)&gt;1,1,0))</x:f>
        <x:v>0</x:v>
      </x:c>
      <x:c r="K127" s="112" t="n">
        <x:f>IF('Expert Labels'!B123="",0,IF(COUNTIF('Sessions'!$A$5:$A$204,'Expert Labels'!B123)=0,1,0))</x:f>
        <x:v>0</x:v>
      </x:c>
      <x:c r="L127" s="112" t="n">
        <x:f>IF('Session Training Data'!A123="",0,IF(COUNTIF('Sessions'!$A$5:$A$204,'Session Training Data'!A123)=0,1,0))</x:f>
        <x:v>0</x:v>
      </x:c>
      <x:c r="M127" s="112" t="n">
        <x:f>IF('Session Training Data'!AF123="",0,IF(COUNTIF('Participants'!$A$5:$A$204,'Session Training Data'!AF123)=0,1,0))</x:f>
        <x:v>0</x:v>
      </x:c>
      <x:c r="N127" s="112" t="n">
        <x:f>IF(OR('Session Training Data'!A123="",'Session Training Data'!AF123=""),0,IF(COUNTIFS('Sessions'!$A$5:$A$204,'Session Training Data'!A123,'Sessions'!$B$5:$B$204,'Session Training Data'!AF123)=0,1,0))</x:f>
        <x:v>0</x:v>
      </x:c>
      <x:c r="O127" s="112" t="n">
        <x:f>IF('Session Training Data'!AF123="",0,IF(COUNTIFS('Participants'!$A$5:$A$204,'Session Training Data'!AF123,'Participants'!$D$5:$D$204,"yes")=0,1,0))</x:f>
        <x:v>0</x:v>
      </x:c>
      <x:c r="P127" s="112" t="n">
        <x:f>IF('Session Training Data'!AF123="",0,IF(COUNTIF('Session Training Data'!$AF$5:AF123,'Session Training Data'!AF123)=1,1,0))</x:f>
        <x:v>0</x:v>
      </x:c>
      <x:c r="Q127" s="112" t="n">
        <x:f>IF('Participants'!A123="",0,IF(COUNTIF('Participants'!$A$5:$A$204,'Participants'!A123)&gt;1,1,0))</x:f>
        <x:v>0</x:v>
      </x:c>
      <x:c r="R127" s="112" t="n">
        <x:f>IF('Sessions'!A123="",0,IF(COUNTIF('Sessions'!$A$5:$A$204,'Sessions'!A123)&gt;1,1,0))</x:f>
        <x:v>0</x:v>
      </x:c>
      <x:c r="S127" s="112" t="n">
        <x:f>IF('Attempts'!A123="",0,IF(COUNTIF('Attempts'!$A$5:$A$204,'Attempts'!A123)&gt;1,1,0))</x:f>
        <x:v>0</x:v>
      </x:c>
      <x:c r="T127" s="112" t="n">
        <x:f>IF('Session Training Data'!A123="",0,IF(COUNTIF('Session Training Data'!$A$5:$A$204,'Session Training Data'!A123)&gt;1,1,0))</x:f>
        <x:v>0</x:v>
      </x:c>
    </x:row>
    <x:row r="128">
      <x:c r="G128" s="112" t="n">
        <x:f>IF('Sessions'!B124="",0,IF(COUNTIF('Participants'!$A$5:$A$204,'Sessions'!B124)=0,1,0))</x:f>
        <x:v>0</x:v>
      </x:c>
      <x:c r="H128" s="112" t="n">
        <x:f>IF('Attempts'!B124="",0,IF(COUNTIF('Sessions'!$A$5:$A$204,'Attempts'!B124)=0,1,0))</x:f>
        <x:v>0</x:v>
      </x:c>
      <x:c r="I128" s="112" t="n">
        <x:f>IF('Sessions'!A124="",0,IF(COUNTIF('Expert Labels'!$B$5:$B$204,'Sessions'!A124)=0,1,0))</x:f>
        <x:v>0</x:v>
      </x:c>
      <x:c r="J128" s="112" t="n">
        <x:f>IF('Expert Labels'!B124="",0,IF(COUNTIF('Expert Labels'!$B$5:$B$204,'Expert Labels'!B124)&gt;1,1,0))</x:f>
        <x:v>0</x:v>
      </x:c>
      <x:c r="K128" s="112" t="n">
        <x:f>IF('Expert Labels'!B124="",0,IF(COUNTIF('Sessions'!$A$5:$A$204,'Expert Labels'!B124)=0,1,0))</x:f>
        <x:v>0</x:v>
      </x:c>
      <x:c r="L128" s="112" t="n">
        <x:f>IF('Session Training Data'!A124="",0,IF(COUNTIF('Sessions'!$A$5:$A$204,'Session Training Data'!A124)=0,1,0))</x:f>
        <x:v>0</x:v>
      </x:c>
      <x:c r="M128" s="112" t="n">
        <x:f>IF('Session Training Data'!AF124="",0,IF(COUNTIF('Participants'!$A$5:$A$204,'Session Training Data'!AF124)=0,1,0))</x:f>
        <x:v>0</x:v>
      </x:c>
      <x:c r="N128" s="112" t="n">
        <x:f>IF(OR('Session Training Data'!A124="",'Session Training Data'!AF124=""),0,IF(COUNTIFS('Sessions'!$A$5:$A$204,'Session Training Data'!A124,'Sessions'!$B$5:$B$204,'Session Training Data'!AF124)=0,1,0))</x:f>
        <x:v>0</x:v>
      </x:c>
      <x:c r="O128" s="112" t="n">
        <x:f>IF('Session Training Data'!AF124="",0,IF(COUNTIFS('Participants'!$A$5:$A$204,'Session Training Data'!AF124,'Participants'!$D$5:$D$204,"yes")=0,1,0))</x:f>
        <x:v>0</x:v>
      </x:c>
      <x:c r="P128" s="112" t="n">
        <x:f>IF('Session Training Data'!AF124="",0,IF(COUNTIF('Session Training Data'!$AF$5:AF124,'Session Training Data'!AF124)=1,1,0))</x:f>
        <x:v>0</x:v>
      </x:c>
      <x:c r="Q128" s="112" t="n">
        <x:f>IF('Participants'!A124="",0,IF(COUNTIF('Participants'!$A$5:$A$204,'Participants'!A124)&gt;1,1,0))</x:f>
        <x:v>0</x:v>
      </x:c>
      <x:c r="R128" s="112" t="n">
        <x:f>IF('Sessions'!A124="",0,IF(COUNTIF('Sessions'!$A$5:$A$204,'Sessions'!A124)&gt;1,1,0))</x:f>
        <x:v>0</x:v>
      </x:c>
      <x:c r="S128" s="112" t="n">
        <x:f>IF('Attempts'!A124="",0,IF(COUNTIF('Attempts'!$A$5:$A$204,'Attempts'!A124)&gt;1,1,0))</x:f>
        <x:v>0</x:v>
      </x:c>
      <x:c r="T128" s="112" t="n">
        <x:f>IF('Session Training Data'!A124="",0,IF(COUNTIF('Session Training Data'!$A$5:$A$204,'Session Training Data'!A124)&gt;1,1,0))</x:f>
        <x:v>0</x:v>
      </x:c>
    </x:row>
    <x:row r="129">
      <x:c r="G129" s="112" t="n">
        <x:f>IF('Sessions'!B125="",0,IF(COUNTIF('Participants'!$A$5:$A$204,'Sessions'!B125)=0,1,0))</x:f>
        <x:v>0</x:v>
      </x:c>
      <x:c r="H129" s="112" t="n">
        <x:f>IF('Attempts'!B125="",0,IF(COUNTIF('Sessions'!$A$5:$A$204,'Attempts'!B125)=0,1,0))</x:f>
        <x:v>0</x:v>
      </x:c>
      <x:c r="I129" s="112" t="n">
        <x:f>IF('Sessions'!A125="",0,IF(COUNTIF('Expert Labels'!$B$5:$B$204,'Sessions'!A125)=0,1,0))</x:f>
        <x:v>0</x:v>
      </x:c>
      <x:c r="J129" s="112" t="n">
        <x:f>IF('Expert Labels'!B125="",0,IF(COUNTIF('Expert Labels'!$B$5:$B$204,'Expert Labels'!B125)&gt;1,1,0))</x:f>
        <x:v>0</x:v>
      </x:c>
      <x:c r="K129" s="112" t="n">
        <x:f>IF('Expert Labels'!B125="",0,IF(COUNTIF('Sessions'!$A$5:$A$204,'Expert Labels'!B125)=0,1,0))</x:f>
        <x:v>0</x:v>
      </x:c>
      <x:c r="L129" s="112" t="n">
        <x:f>IF('Session Training Data'!A125="",0,IF(COUNTIF('Sessions'!$A$5:$A$204,'Session Training Data'!A125)=0,1,0))</x:f>
        <x:v>0</x:v>
      </x:c>
      <x:c r="M129" s="112" t="n">
        <x:f>IF('Session Training Data'!AF125="",0,IF(COUNTIF('Participants'!$A$5:$A$204,'Session Training Data'!AF125)=0,1,0))</x:f>
        <x:v>0</x:v>
      </x:c>
      <x:c r="N129" s="112" t="n">
        <x:f>IF(OR('Session Training Data'!A125="",'Session Training Data'!AF125=""),0,IF(COUNTIFS('Sessions'!$A$5:$A$204,'Session Training Data'!A125,'Sessions'!$B$5:$B$204,'Session Training Data'!AF125)=0,1,0))</x:f>
        <x:v>0</x:v>
      </x:c>
      <x:c r="O129" s="112" t="n">
        <x:f>IF('Session Training Data'!AF125="",0,IF(COUNTIFS('Participants'!$A$5:$A$204,'Session Training Data'!AF125,'Participants'!$D$5:$D$204,"yes")=0,1,0))</x:f>
        <x:v>0</x:v>
      </x:c>
      <x:c r="P129" s="112" t="n">
        <x:f>IF('Session Training Data'!AF125="",0,IF(COUNTIF('Session Training Data'!$AF$5:AF125,'Session Training Data'!AF125)=1,1,0))</x:f>
        <x:v>0</x:v>
      </x:c>
      <x:c r="Q129" s="112" t="n">
        <x:f>IF('Participants'!A125="",0,IF(COUNTIF('Participants'!$A$5:$A$204,'Participants'!A125)&gt;1,1,0))</x:f>
        <x:v>0</x:v>
      </x:c>
      <x:c r="R129" s="112" t="n">
        <x:f>IF('Sessions'!A125="",0,IF(COUNTIF('Sessions'!$A$5:$A$204,'Sessions'!A125)&gt;1,1,0))</x:f>
        <x:v>0</x:v>
      </x:c>
      <x:c r="S129" s="112" t="n">
        <x:f>IF('Attempts'!A125="",0,IF(COUNTIF('Attempts'!$A$5:$A$204,'Attempts'!A125)&gt;1,1,0))</x:f>
        <x:v>0</x:v>
      </x:c>
      <x:c r="T129" s="112" t="n">
        <x:f>IF('Session Training Data'!A125="",0,IF(COUNTIF('Session Training Data'!$A$5:$A$204,'Session Training Data'!A125)&gt;1,1,0))</x:f>
        <x:v>0</x:v>
      </x:c>
    </x:row>
    <x:row r="130">
      <x:c r="G130" s="112" t="n">
        <x:f>IF('Sessions'!B126="",0,IF(COUNTIF('Participants'!$A$5:$A$204,'Sessions'!B126)=0,1,0))</x:f>
        <x:v>0</x:v>
      </x:c>
      <x:c r="H130" s="112" t="n">
        <x:f>IF('Attempts'!B126="",0,IF(COUNTIF('Sessions'!$A$5:$A$204,'Attempts'!B126)=0,1,0))</x:f>
        <x:v>0</x:v>
      </x:c>
      <x:c r="I130" s="112" t="n">
        <x:f>IF('Sessions'!A126="",0,IF(COUNTIF('Expert Labels'!$B$5:$B$204,'Sessions'!A126)=0,1,0))</x:f>
        <x:v>0</x:v>
      </x:c>
      <x:c r="J130" s="112" t="n">
        <x:f>IF('Expert Labels'!B126="",0,IF(COUNTIF('Expert Labels'!$B$5:$B$204,'Expert Labels'!B126)&gt;1,1,0))</x:f>
        <x:v>0</x:v>
      </x:c>
      <x:c r="K130" s="112" t="n">
        <x:f>IF('Expert Labels'!B126="",0,IF(COUNTIF('Sessions'!$A$5:$A$204,'Expert Labels'!B126)=0,1,0))</x:f>
        <x:v>0</x:v>
      </x:c>
      <x:c r="L130" s="112" t="n">
        <x:f>IF('Session Training Data'!A126="",0,IF(COUNTIF('Sessions'!$A$5:$A$204,'Session Training Data'!A126)=0,1,0))</x:f>
        <x:v>0</x:v>
      </x:c>
      <x:c r="M130" s="112" t="n">
        <x:f>IF('Session Training Data'!AF126="",0,IF(COUNTIF('Participants'!$A$5:$A$204,'Session Training Data'!AF126)=0,1,0))</x:f>
        <x:v>0</x:v>
      </x:c>
      <x:c r="N130" s="112" t="n">
        <x:f>IF(OR('Session Training Data'!A126="",'Session Training Data'!AF126=""),0,IF(COUNTIFS('Sessions'!$A$5:$A$204,'Session Training Data'!A126,'Sessions'!$B$5:$B$204,'Session Training Data'!AF126)=0,1,0))</x:f>
        <x:v>0</x:v>
      </x:c>
      <x:c r="O130" s="112" t="n">
        <x:f>IF('Session Training Data'!AF126="",0,IF(COUNTIFS('Participants'!$A$5:$A$204,'Session Training Data'!AF126,'Participants'!$D$5:$D$204,"yes")=0,1,0))</x:f>
        <x:v>0</x:v>
      </x:c>
      <x:c r="P130" s="112" t="n">
        <x:f>IF('Session Training Data'!AF126="",0,IF(COUNTIF('Session Training Data'!$AF$5:AF126,'Session Training Data'!AF126)=1,1,0))</x:f>
        <x:v>0</x:v>
      </x:c>
      <x:c r="Q130" s="112" t="n">
        <x:f>IF('Participants'!A126="",0,IF(COUNTIF('Participants'!$A$5:$A$204,'Participants'!A126)&gt;1,1,0))</x:f>
        <x:v>0</x:v>
      </x:c>
      <x:c r="R130" s="112" t="n">
        <x:f>IF('Sessions'!A126="",0,IF(COUNTIF('Sessions'!$A$5:$A$204,'Sessions'!A126)&gt;1,1,0))</x:f>
        <x:v>0</x:v>
      </x:c>
      <x:c r="S130" s="112" t="n">
        <x:f>IF('Attempts'!A126="",0,IF(COUNTIF('Attempts'!$A$5:$A$204,'Attempts'!A126)&gt;1,1,0))</x:f>
        <x:v>0</x:v>
      </x:c>
      <x:c r="T130" s="112" t="n">
        <x:f>IF('Session Training Data'!A126="",0,IF(COUNTIF('Session Training Data'!$A$5:$A$204,'Session Training Data'!A126)&gt;1,1,0))</x:f>
        <x:v>0</x:v>
      </x:c>
    </x:row>
    <x:row r="131">
      <x:c r="G131" s="112" t="n">
        <x:f>IF('Sessions'!B127="",0,IF(COUNTIF('Participants'!$A$5:$A$204,'Sessions'!B127)=0,1,0))</x:f>
        <x:v>0</x:v>
      </x:c>
      <x:c r="H131" s="112" t="n">
        <x:f>IF('Attempts'!B127="",0,IF(COUNTIF('Sessions'!$A$5:$A$204,'Attempts'!B127)=0,1,0))</x:f>
        <x:v>0</x:v>
      </x:c>
      <x:c r="I131" s="112" t="n">
        <x:f>IF('Sessions'!A127="",0,IF(COUNTIF('Expert Labels'!$B$5:$B$204,'Sessions'!A127)=0,1,0))</x:f>
        <x:v>0</x:v>
      </x:c>
      <x:c r="J131" s="112" t="n">
        <x:f>IF('Expert Labels'!B127="",0,IF(COUNTIF('Expert Labels'!$B$5:$B$204,'Expert Labels'!B127)&gt;1,1,0))</x:f>
        <x:v>0</x:v>
      </x:c>
      <x:c r="K131" s="112" t="n">
        <x:f>IF('Expert Labels'!B127="",0,IF(COUNTIF('Sessions'!$A$5:$A$204,'Expert Labels'!B127)=0,1,0))</x:f>
        <x:v>0</x:v>
      </x:c>
      <x:c r="L131" s="112" t="n">
        <x:f>IF('Session Training Data'!A127="",0,IF(COUNTIF('Sessions'!$A$5:$A$204,'Session Training Data'!A127)=0,1,0))</x:f>
        <x:v>0</x:v>
      </x:c>
      <x:c r="M131" s="112" t="n">
        <x:f>IF('Session Training Data'!AF127="",0,IF(COUNTIF('Participants'!$A$5:$A$204,'Session Training Data'!AF127)=0,1,0))</x:f>
        <x:v>0</x:v>
      </x:c>
      <x:c r="N131" s="112" t="n">
        <x:f>IF(OR('Session Training Data'!A127="",'Session Training Data'!AF127=""),0,IF(COUNTIFS('Sessions'!$A$5:$A$204,'Session Training Data'!A127,'Sessions'!$B$5:$B$204,'Session Training Data'!AF127)=0,1,0))</x:f>
        <x:v>0</x:v>
      </x:c>
      <x:c r="O131" s="112" t="n">
        <x:f>IF('Session Training Data'!AF127="",0,IF(COUNTIFS('Participants'!$A$5:$A$204,'Session Training Data'!AF127,'Participants'!$D$5:$D$204,"yes")=0,1,0))</x:f>
        <x:v>0</x:v>
      </x:c>
      <x:c r="P131" s="112" t="n">
        <x:f>IF('Session Training Data'!AF127="",0,IF(COUNTIF('Session Training Data'!$AF$5:AF127,'Session Training Data'!AF127)=1,1,0))</x:f>
        <x:v>0</x:v>
      </x:c>
      <x:c r="Q131" s="112" t="n">
        <x:f>IF('Participants'!A127="",0,IF(COUNTIF('Participants'!$A$5:$A$204,'Participants'!A127)&gt;1,1,0))</x:f>
        <x:v>0</x:v>
      </x:c>
      <x:c r="R131" s="112" t="n">
        <x:f>IF('Sessions'!A127="",0,IF(COUNTIF('Sessions'!$A$5:$A$204,'Sessions'!A127)&gt;1,1,0))</x:f>
        <x:v>0</x:v>
      </x:c>
      <x:c r="S131" s="112" t="n">
        <x:f>IF('Attempts'!A127="",0,IF(COUNTIF('Attempts'!$A$5:$A$204,'Attempts'!A127)&gt;1,1,0))</x:f>
        <x:v>0</x:v>
      </x:c>
      <x:c r="T131" s="112" t="n">
        <x:f>IF('Session Training Data'!A127="",0,IF(COUNTIF('Session Training Data'!$A$5:$A$204,'Session Training Data'!A127)&gt;1,1,0))</x:f>
        <x:v>0</x:v>
      </x:c>
    </x:row>
    <x:row r="132">
      <x:c r="G132" s="112" t="n">
        <x:f>IF('Sessions'!B128="",0,IF(COUNTIF('Participants'!$A$5:$A$204,'Sessions'!B128)=0,1,0))</x:f>
        <x:v>0</x:v>
      </x:c>
      <x:c r="H132" s="112" t="n">
        <x:f>IF('Attempts'!B128="",0,IF(COUNTIF('Sessions'!$A$5:$A$204,'Attempts'!B128)=0,1,0))</x:f>
        <x:v>0</x:v>
      </x:c>
      <x:c r="I132" s="112" t="n">
        <x:f>IF('Sessions'!A128="",0,IF(COUNTIF('Expert Labels'!$B$5:$B$204,'Sessions'!A128)=0,1,0))</x:f>
        <x:v>0</x:v>
      </x:c>
      <x:c r="J132" s="112" t="n">
        <x:f>IF('Expert Labels'!B128="",0,IF(COUNTIF('Expert Labels'!$B$5:$B$204,'Expert Labels'!B128)&gt;1,1,0))</x:f>
        <x:v>0</x:v>
      </x:c>
      <x:c r="K132" s="112" t="n">
        <x:f>IF('Expert Labels'!B128="",0,IF(COUNTIF('Sessions'!$A$5:$A$204,'Expert Labels'!B128)=0,1,0))</x:f>
        <x:v>0</x:v>
      </x:c>
      <x:c r="L132" s="112" t="n">
        <x:f>IF('Session Training Data'!A128="",0,IF(COUNTIF('Sessions'!$A$5:$A$204,'Session Training Data'!A128)=0,1,0))</x:f>
        <x:v>0</x:v>
      </x:c>
      <x:c r="M132" s="112" t="n">
        <x:f>IF('Session Training Data'!AF128="",0,IF(COUNTIF('Participants'!$A$5:$A$204,'Session Training Data'!AF128)=0,1,0))</x:f>
        <x:v>0</x:v>
      </x:c>
      <x:c r="N132" s="112" t="n">
        <x:f>IF(OR('Session Training Data'!A128="",'Session Training Data'!AF128=""),0,IF(COUNTIFS('Sessions'!$A$5:$A$204,'Session Training Data'!A128,'Sessions'!$B$5:$B$204,'Session Training Data'!AF128)=0,1,0))</x:f>
        <x:v>0</x:v>
      </x:c>
      <x:c r="O132" s="112" t="n">
        <x:f>IF('Session Training Data'!AF128="",0,IF(COUNTIFS('Participants'!$A$5:$A$204,'Session Training Data'!AF128,'Participants'!$D$5:$D$204,"yes")=0,1,0))</x:f>
        <x:v>0</x:v>
      </x:c>
      <x:c r="P132" s="112" t="n">
        <x:f>IF('Session Training Data'!AF128="",0,IF(COUNTIF('Session Training Data'!$AF$5:AF128,'Session Training Data'!AF128)=1,1,0))</x:f>
        <x:v>0</x:v>
      </x:c>
      <x:c r="Q132" s="112" t="n">
        <x:f>IF('Participants'!A128="",0,IF(COUNTIF('Participants'!$A$5:$A$204,'Participants'!A128)&gt;1,1,0))</x:f>
        <x:v>0</x:v>
      </x:c>
      <x:c r="R132" s="112" t="n">
        <x:f>IF('Sessions'!A128="",0,IF(COUNTIF('Sessions'!$A$5:$A$204,'Sessions'!A128)&gt;1,1,0))</x:f>
        <x:v>0</x:v>
      </x:c>
      <x:c r="S132" s="112" t="n">
        <x:f>IF('Attempts'!A128="",0,IF(COUNTIF('Attempts'!$A$5:$A$204,'Attempts'!A128)&gt;1,1,0))</x:f>
        <x:v>0</x:v>
      </x:c>
      <x:c r="T132" s="112" t="n">
        <x:f>IF('Session Training Data'!A128="",0,IF(COUNTIF('Session Training Data'!$A$5:$A$204,'Session Training Data'!A128)&gt;1,1,0))</x:f>
        <x:v>0</x:v>
      </x:c>
    </x:row>
    <x:row r="133">
      <x:c r="G133" s="112" t="n">
        <x:f>IF('Sessions'!B129="",0,IF(COUNTIF('Participants'!$A$5:$A$204,'Sessions'!B129)=0,1,0))</x:f>
        <x:v>0</x:v>
      </x:c>
      <x:c r="H133" s="112" t="n">
        <x:f>IF('Attempts'!B129="",0,IF(COUNTIF('Sessions'!$A$5:$A$204,'Attempts'!B129)=0,1,0))</x:f>
        <x:v>0</x:v>
      </x:c>
      <x:c r="I133" s="112" t="n">
        <x:f>IF('Sessions'!A129="",0,IF(COUNTIF('Expert Labels'!$B$5:$B$204,'Sessions'!A129)=0,1,0))</x:f>
        <x:v>0</x:v>
      </x:c>
      <x:c r="J133" s="112" t="n">
        <x:f>IF('Expert Labels'!B129="",0,IF(COUNTIF('Expert Labels'!$B$5:$B$204,'Expert Labels'!B129)&gt;1,1,0))</x:f>
        <x:v>0</x:v>
      </x:c>
      <x:c r="K133" s="112" t="n">
        <x:f>IF('Expert Labels'!B129="",0,IF(COUNTIF('Sessions'!$A$5:$A$204,'Expert Labels'!B129)=0,1,0))</x:f>
        <x:v>0</x:v>
      </x:c>
      <x:c r="L133" s="112" t="n">
        <x:f>IF('Session Training Data'!A129="",0,IF(COUNTIF('Sessions'!$A$5:$A$204,'Session Training Data'!A129)=0,1,0))</x:f>
        <x:v>0</x:v>
      </x:c>
      <x:c r="M133" s="112" t="n">
        <x:f>IF('Session Training Data'!AF129="",0,IF(COUNTIF('Participants'!$A$5:$A$204,'Session Training Data'!AF129)=0,1,0))</x:f>
        <x:v>0</x:v>
      </x:c>
      <x:c r="N133" s="112" t="n">
        <x:f>IF(OR('Session Training Data'!A129="",'Session Training Data'!AF129=""),0,IF(COUNTIFS('Sessions'!$A$5:$A$204,'Session Training Data'!A129,'Sessions'!$B$5:$B$204,'Session Training Data'!AF129)=0,1,0))</x:f>
        <x:v>0</x:v>
      </x:c>
      <x:c r="O133" s="112" t="n">
        <x:f>IF('Session Training Data'!AF129="",0,IF(COUNTIFS('Participants'!$A$5:$A$204,'Session Training Data'!AF129,'Participants'!$D$5:$D$204,"yes")=0,1,0))</x:f>
        <x:v>0</x:v>
      </x:c>
      <x:c r="P133" s="112" t="n">
        <x:f>IF('Session Training Data'!AF129="",0,IF(COUNTIF('Session Training Data'!$AF$5:AF129,'Session Training Data'!AF129)=1,1,0))</x:f>
        <x:v>0</x:v>
      </x:c>
      <x:c r="Q133" s="112" t="n">
        <x:f>IF('Participants'!A129="",0,IF(COUNTIF('Participants'!$A$5:$A$204,'Participants'!A129)&gt;1,1,0))</x:f>
        <x:v>0</x:v>
      </x:c>
      <x:c r="R133" s="112" t="n">
        <x:f>IF('Sessions'!A129="",0,IF(COUNTIF('Sessions'!$A$5:$A$204,'Sessions'!A129)&gt;1,1,0))</x:f>
        <x:v>0</x:v>
      </x:c>
      <x:c r="S133" s="112" t="n">
        <x:f>IF('Attempts'!A129="",0,IF(COUNTIF('Attempts'!$A$5:$A$204,'Attempts'!A129)&gt;1,1,0))</x:f>
        <x:v>0</x:v>
      </x:c>
      <x:c r="T133" s="112" t="n">
        <x:f>IF('Session Training Data'!A129="",0,IF(COUNTIF('Session Training Data'!$A$5:$A$204,'Session Training Data'!A129)&gt;1,1,0))</x:f>
        <x:v>0</x:v>
      </x:c>
    </x:row>
    <x:row r="134">
      <x:c r="G134" s="112" t="n">
        <x:f>IF('Sessions'!B130="",0,IF(COUNTIF('Participants'!$A$5:$A$204,'Sessions'!B130)=0,1,0))</x:f>
        <x:v>0</x:v>
      </x:c>
      <x:c r="H134" s="112" t="n">
        <x:f>IF('Attempts'!B130="",0,IF(COUNTIF('Sessions'!$A$5:$A$204,'Attempts'!B130)=0,1,0))</x:f>
        <x:v>0</x:v>
      </x:c>
      <x:c r="I134" s="112" t="n">
        <x:f>IF('Sessions'!A130="",0,IF(COUNTIF('Expert Labels'!$B$5:$B$204,'Sessions'!A130)=0,1,0))</x:f>
        <x:v>0</x:v>
      </x:c>
      <x:c r="J134" s="112" t="n">
        <x:f>IF('Expert Labels'!B130="",0,IF(COUNTIF('Expert Labels'!$B$5:$B$204,'Expert Labels'!B130)&gt;1,1,0))</x:f>
        <x:v>0</x:v>
      </x:c>
      <x:c r="K134" s="112" t="n">
        <x:f>IF('Expert Labels'!B130="",0,IF(COUNTIF('Sessions'!$A$5:$A$204,'Expert Labels'!B130)=0,1,0))</x:f>
        <x:v>0</x:v>
      </x:c>
      <x:c r="L134" s="112" t="n">
        <x:f>IF('Session Training Data'!A130="",0,IF(COUNTIF('Sessions'!$A$5:$A$204,'Session Training Data'!A130)=0,1,0))</x:f>
        <x:v>0</x:v>
      </x:c>
      <x:c r="M134" s="112" t="n">
        <x:f>IF('Session Training Data'!AF130="",0,IF(COUNTIF('Participants'!$A$5:$A$204,'Session Training Data'!AF130)=0,1,0))</x:f>
        <x:v>0</x:v>
      </x:c>
      <x:c r="N134" s="112" t="n">
        <x:f>IF(OR('Session Training Data'!A130="",'Session Training Data'!AF130=""),0,IF(COUNTIFS('Sessions'!$A$5:$A$204,'Session Training Data'!A130,'Sessions'!$B$5:$B$204,'Session Training Data'!AF130)=0,1,0))</x:f>
        <x:v>0</x:v>
      </x:c>
      <x:c r="O134" s="112" t="n">
        <x:f>IF('Session Training Data'!AF130="",0,IF(COUNTIFS('Participants'!$A$5:$A$204,'Session Training Data'!AF130,'Participants'!$D$5:$D$204,"yes")=0,1,0))</x:f>
        <x:v>0</x:v>
      </x:c>
      <x:c r="P134" s="112" t="n">
        <x:f>IF('Session Training Data'!AF130="",0,IF(COUNTIF('Session Training Data'!$AF$5:AF130,'Session Training Data'!AF130)=1,1,0))</x:f>
        <x:v>0</x:v>
      </x:c>
      <x:c r="Q134" s="112" t="n">
        <x:f>IF('Participants'!A130="",0,IF(COUNTIF('Participants'!$A$5:$A$204,'Participants'!A130)&gt;1,1,0))</x:f>
        <x:v>0</x:v>
      </x:c>
      <x:c r="R134" s="112" t="n">
        <x:f>IF('Sessions'!A130="",0,IF(COUNTIF('Sessions'!$A$5:$A$204,'Sessions'!A130)&gt;1,1,0))</x:f>
        <x:v>0</x:v>
      </x:c>
      <x:c r="S134" s="112" t="n">
        <x:f>IF('Attempts'!A130="",0,IF(COUNTIF('Attempts'!$A$5:$A$204,'Attempts'!A130)&gt;1,1,0))</x:f>
        <x:v>0</x:v>
      </x:c>
      <x:c r="T134" s="112" t="n">
        <x:f>IF('Session Training Data'!A130="",0,IF(COUNTIF('Session Training Data'!$A$5:$A$204,'Session Training Data'!A130)&gt;1,1,0))</x:f>
        <x:v>0</x:v>
      </x:c>
    </x:row>
    <x:row r="135">
      <x:c r="G135" s="112" t="n">
        <x:f>IF('Sessions'!B131="",0,IF(COUNTIF('Participants'!$A$5:$A$204,'Sessions'!B131)=0,1,0))</x:f>
        <x:v>0</x:v>
      </x:c>
      <x:c r="H135" s="112" t="n">
        <x:f>IF('Attempts'!B131="",0,IF(COUNTIF('Sessions'!$A$5:$A$204,'Attempts'!B131)=0,1,0))</x:f>
        <x:v>0</x:v>
      </x:c>
      <x:c r="I135" s="112" t="n">
        <x:f>IF('Sessions'!A131="",0,IF(COUNTIF('Expert Labels'!$B$5:$B$204,'Sessions'!A131)=0,1,0))</x:f>
        <x:v>0</x:v>
      </x:c>
      <x:c r="J135" s="112" t="n">
        <x:f>IF('Expert Labels'!B131="",0,IF(COUNTIF('Expert Labels'!$B$5:$B$204,'Expert Labels'!B131)&gt;1,1,0))</x:f>
        <x:v>0</x:v>
      </x:c>
      <x:c r="K135" s="112" t="n">
        <x:f>IF('Expert Labels'!B131="",0,IF(COUNTIF('Sessions'!$A$5:$A$204,'Expert Labels'!B131)=0,1,0))</x:f>
        <x:v>0</x:v>
      </x:c>
      <x:c r="L135" s="112" t="n">
        <x:f>IF('Session Training Data'!A131="",0,IF(COUNTIF('Sessions'!$A$5:$A$204,'Session Training Data'!A131)=0,1,0))</x:f>
        <x:v>0</x:v>
      </x:c>
      <x:c r="M135" s="112" t="n">
        <x:f>IF('Session Training Data'!AF131="",0,IF(COUNTIF('Participants'!$A$5:$A$204,'Session Training Data'!AF131)=0,1,0))</x:f>
        <x:v>0</x:v>
      </x:c>
      <x:c r="N135" s="112" t="n">
        <x:f>IF(OR('Session Training Data'!A131="",'Session Training Data'!AF131=""),0,IF(COUNTIFS('Sessions'!$A$5:$A$204,'Session Training Data'!A131,'Sessions'!$B$5:$B$204,'Session Training Data'!AF131)=0,1,0))</x:f>
        <x:v>0</x:v>
      </x:c>
      <x:c r="O135" s="112" t="n">
        <x:f>IF('Session Training Data'!AF131="",0,IF(COUNTIFS('Participants'!$A$5:$A$204,'Session Training Data'!AF131,'Participants'!$D$5:$D$204,"yes")=0,1,0))</x:f>
        <x:v>0</x:v>
      </x:c>
      <x:c r="P135" s="112" t="n">
        <x:f>IF('Session Training Data'!AF131="",0,IF(COUNTIF('Session Training Data'!$AF$5:AF131,'Session Training Data'!AF131)=1,1,0))</x:f>
        <x:v>0</x:v>
      </x:c>
      <x:c r="Q135" s="112" t="n">
        <x:f>IF('Participants'!A131="",0,IF(COUNTIF('Participants'!$A$5:$A$204,'Participants'!A131)&gt;1,1,0))</x:f>
        <x:v>0</x:v>
      </x:c>
      <x:c r="R135" s="112" t="n">
        <x:f>IF('Sessions'!A131="",0,IF(COUNTIF('Sessions'!$A$5:$A$204,'Sessions'!A131)&gt;1,1,0))</x:f>
        <x:v>0</x:v>
      </x:c>
      <x:c r="S135" s="112" t="n">
        <x:f>IF('Attempts'!A131="",0,IF(COUNTIF('Attempts'!$A$5:$A$204,'Attempts'!A131)&gt;1,1,0))</x:f>
        <x:v>0</x:v>
      </x:c>
      <x:c r="T135" s="112" t="n">
        <x:f>IF('Session Training Data'!A131="",0,IF(COUNTIF('Session Training Data'!$A$5:$A$204,'Session Training Data'!A131)&gt;1,1,0))</x:f>
        <x:v>0</x:v>
      </x:c>
    </x:row>
    <x:row r="136">
      <x:c r="G136" s="112" t="n">
        <x:f>IF('Sessions'!B132="",0,IF(COUNTIF('Participants'!$A$5:$A$204,'Sessions'!B132)=0,1,0))</x:f>
        <x:v>0</x:v>
      </x:c>
      <x:c r="H136" s="112" t="n">
        <x:f>IF('Attempts'!B132="",0,IF(COUNTIF('Sessions'!$A$5:$A$204,'Attempts'!B132)=0,1,0))</x:f>
        <x:v>0</x:v>
      </x:c>
      <x:c r="I136" s="112" t="n">
        <x:f>IF('Sessions'!A132="",0,IF(COUNTIF('Expert Labels'!$B$5:$B$204,'Sessions'!A132)=0,1,0))</x:f>
        <x:v>0</x:v>
      </x:c>
      <x:c r="J136" s="112" t="n">
        <x:f>IF('Expert Labels'!B132="",0,IF(COUNTIF('Expert Labels'!$B$5:$B$204,'Expert Labels'!B132)&gt;1,1,0))</x:f>
        <x:v>0</x:v>
      </x:c>
      <x:c r="K136" s="112" t="n">
        <x:f>IF('Expert Labels'!B132="",0,IF(COUNTIF('Sessions'!$A$5:$A$204,'Expert Labels'!B132)=0,1,0))</x:f>
        <x:v>0</x:v>
      </x:c>
      <x:c r="L136" s="112" t="n">
        <x:f>IF('Session Training Data'!A132="",0,IF(COUNTIF('Sessions'!$A$5:$A$204,'Session Training Data'!A132)=0,1,0))</x:f>
        <x:v>0</x:v>
      </x:c>
      <x:c r="M136" s="112" t="n">
        <x:f>IF('Session Training Data'!AF132="",0,IF(COUNTIF('Participants'!$A$5:$A$204,'Session Training Data'!AF132)=0,1,0))</x:f>
        <x:v>0</x:v>
      </x:c>
      <x:c r="N136" s="112" t="n">
        <x:f>IF(OR('Session Training Data'!A132="",'Session Training Data'!AF132=""),0,IF(COUNTIFS('Sessions'!$A$5:$A$204,'Session Training Data'!A132,'Sessions'!$B$5:$B$204,'Session Training Data'!AF132)=0,1,0))</x:f>
        <x:v>0</x:v>
      </x:c>
      <x:c r="O136" s="112" t="n">
        <x:f>IF('Session Training Data'!AF132="",0,IF(COUNTIFS('Participants'!$A$5:$A$204,'Session Training Data'!AF132,'Participants'!$D$5:$D$204,"yes")=0,1,0))</x:f>
        <x:v>0</x:v>
      </x:c>
      <x:c r="P136" s="112" t="n">
        <x:f>IF('Session Training Data'!AF132="",0,IF(COUNTIF('Session Training Data'!$AF$5:AF132,'Session Training Data'!AF132)=1,1,0))</x:f>
        <x:v>0</x:v>
      </x:c>
      <x:c r="Q136" s="112" t="n">
        <x:f>IF('Participants'!A132="",0,IF(COUNTIF('Participants'!$A$5:$A$204,'Participants'!A132)&gt;1,1,0))</x:f>
        <x:v>0</x:v>
      </x:c>
      <x:c r="R136" s="112" t="n">
        <x:f>IF('Sessions'!A132="",0,IF(COUNTIF('Sessions'!$A$5:$A$204,'Sessions'!A132)&gt;1,1,0))</x:f>
        <x:v>0</x:v>
      </x:c>
      <x:c r="S136" s="112" t="n">
        <x:f>IF('Attempts'!A132="",0,IF(COUNTIF('Attempts'!$A$5:$A$204,'Attempts'!A132)&gt;1,1,0))</x:f>
        <x:v>0</x:v>
      </x:c>
      <x:c r="T136" s="112" t="n">
        <x:f>IF('Session Training Data'!A132="",0,IF(COUNTIF('Session Training Data'!$A$5:$A$204,'Session Training Data'!A132)&gt;1,1,0))</x:f>
        <x:v>0</x:v>
      </x:c>
    </x:row>
    <x:row r="137">
      <x:c r="G137" s="112" t="n">
        <x:f>IF('Sessions'!B133="",0,IF(COUNTIF('Participants'!$A$5:$A$204,'Sessions'!B133)=0,1,0))</x:f>
        <x:v>0</x:v>
      </x:c>
      <x:c r="H137" s="112" t="n">
        <x:f>IF('Attempts'!B133="",0,IF(COUNTIF('Sessions'!$A$5:$A$204,'Attempts'!B133)=0,1,0))</x:f>
        <x:v>0</x:v>
      </x:c>
      <x:c r="I137" s="112" t="n">
        <x:f>IF('Sessions'!A133="",0,IF(COUNTIF('Expert Labels'!$B$5:$B$204,'Sessions'!A133)=0,1,0))</x:f>
        <x:v>0</x:v>
      </x:c>
      <x:c r="J137" s="112" t="n">
        <x:f>IF('Expert Labels'!B133="",0,IF(COUNTIF('Expert Labels'!$B$5:$B$204,'Expert Labels'!B133)&gt;1,1,0))</x:f>
        <x:v>0</x:v>
      </x:c>
      <x:c r="K137" s="112" t="n">
        <x:f>IF('Expert Labels'!B133="",0,IF(COUNTIF('Sessions'!$A$5:$A$204,'Expert Labels'!B133)=0,1,0))</x:f>
        <x:v>0</x:v>
      </x:c>
      <x:c r="L137" s="112" t="n">
        <x:f>IF('Session Training Data'!A133="",0,IF(COUNTIF('Sessions'!$A$5:$A$204,'Session Training Data'!A133)=0,1,0))</x:f>
        <x:v>0</x:v>
      </x:c>
      <x:c r="M137" s="112" t="n">
        <x:f>IF('Session Training Data'!AF133="",0,IF(COUNTIF('Participants'!$A$5:$A$204,'Session Training Data'!AF133)=0,1,0))</x:f>
        <x:v>0</x:v>
      </x:c>
      <x:c r="N137" s="112" t="n">
        <x:f>IF(OR('Session Training Data'!A133="",'Session Training Data'!AF133=""),0,IF(COUNTIFS('Sessions'!$A$5:$A$204,'Session Training Data'!A133,'Sessions'!$B$5:$B$204,'Session Training Data'!AF133)=0,1,0))</x:f>
        <x:v>0</x:v>
      </x:c>
      <x:c r="O137" s="112" t="n">
        <x:f>IF('Session Training Data'!AF133="",0,IF(COUNTIFS('Participants'!$A$5:$A$204,'Session Training Data'!AF133,'Participants'!$D$5:$D$204,"yes")=0,1,0))</x:f>
        <x:v>0</x:v>
      </x:c>
      <x:c r="P137" s="112" t="n">
        <x:f>IF('Session Training Data'!AF133="",0,IF(COUNTIF('Session Training Data'!$AF$5:AF133,'Session Training Data'!AF133)=1,1,0))</x:f>
        <x:v>0</x:v>
      </x:c>
      <x:c r="Q137" s="112" t="n">
        <x:f>IF('Participants'!A133="",0,IF(COUNTIF('Participants'!$A$5:$A$204,'Participants'!A133)&gt;1,1,0))</x:f>
        <x:v>0</x:v>
      </x:c>
      <x:c r="R137" s="112" t="n">
        <x:f>IF('Sessions'!A133="",0,IF(COUNTIF('Sessions'!$A$5:$A$204,'Sessions'!A133)&gt;1,1,0))</x:f>
        <x:v>0</x:v>
      </x:c>
      <x:c r="S137" s="112" t="n">
        <x:f>IF('Attempts'!A133="",0,IF(COUNTIF('Attempts'!$A$5:$A$204,'Attempts'!A133)&gt;1,1,0))</x:f>
        <x:v>0</x:v>
      </x:c>
      <x:c r="T137" s="112" t="n">
        <x:f>IF('Session Training Data'!A133="",0,IF(COUNTIF('Session Training Data'!$A$5:$A$204,'Session Training Data'!A133)&gt;1,1,0))</x:f>
        <x:v>0</x:v>
      </x:c>
    </x:row>
    <x:row r="138">
      <x:c r="G138" s="112" t="n">
        <x:f>IF('Sessions'!B134="",0,IF(COUNTIF('Participants'!$A$5:$A$204,'Sessions'!B134)=0,1,0))</x:f>
        <x:v>0</x:v>
      </x:c>
      <x:c r="H138" s="112" t="n">
        <x:f>IF('Attempts'!B134="",0,IF(COUNTIF('Sessions'!$A$5:$A$204,'Attempts'!B134)=0,1,0))</x:f>
        <x:v>0</x:v>
      </x:c>
      <x:c r="I138" s="112" t="n">
        <x:f>IF('Sessions'!A134="",0,IF(COUNTIF('Expert Labels'!$B$5:$B$204,'Sessions'!A134)=0,1,0))</x:f>
        <x:v>0</x:v>
      </x:c>
      <x:c r="J138" s="112" t="n">
        <x:f>IF('Expert Labels'!B134="",0,IF(COUNTIF('Expert Labels'!$B$5:$B$204,'Expert Labels'!B134)&gt;1,1,0))</x:f>
        <x:v>0</x:v>
      </x:c>
      <x:c r="K138" s="112" t="n">
        <x:f>IF('Expert Labels'!B134="",0,IF(COUNTIF('Sessions'!$A$5:$A$204,'Expert Labels'!B134)=0,1,0))</x:f>
        <x:v>0</x:v>
      </x:c>
      <x:c r="L138" s="112" t="n">
        <x:f>IF('Session Training Data'!A134="",0,IF(COUNTIF('Sessions'!$A$5:$A$204,'Session Training Data'!A134)=0,1,0))</x:f>
        <x:v>0</x:v>
      </x:c>
      <x:c r="M138" s="112" t="n">
        <x:f>IF('Session Training Data'!AF134="",0,IF(COUNTIF('Participants'!$A$5:$A$204,'Session Training Data'!AF134)=0,1,0))</x:f>
        <x:v>0</x:v>
      </x:c>
      <x:c r="N138" s="112" t="n">
        <x:f>IF(OR('Session Training Data'!A134="",'Session Training Data'!AF134=""),0,IF(COUNTIFS('Sessions'!$A$5:$A$204,'Session Training Data'!A134,'Sessions'!$B$5:$B$204,'Session Training Data'!AF134)=0,1,0))</x:f>
        <x:v>0</x:v>
      </x:c>
      <x:c r="O138" s="112" t="n">
        <x:f>IF('Session Training Data'!AF134="",0,IF(COUNTIFS('Participants'!$A$5:$A$204,'Session Training Data'!AF134,'Participants'!$D$5:$D$204,"yes")=0,1,0))</x:f>
        <x:v>0</x:v>
      </x:c>
      <x:c r="P138" s="112" t="n">
        <x:f>IF('Session Training Data'!AF134="",0,IF(COUNTIF('Session Training Data'!$AF$5:AF134,'Session Training Data'!AF134)=1,1,0))</x:f>
        <x:v>0</x:v>
      </x:c>
      <x:c r="Q138" s="112" t="n">
        <x:f>IF('Participants'!A134="",0,IF(COUNTIF('Participants'!$A$5:$A$204,'Participants'!A134)&gt;1,1,0))</x:f>
        <x:v>0</x:v>
      </x:c>
      <x:c r="R138" s="112" t="n">
        <x:f>IF('Sessions'!A134="",0,IF(COUNTIF('Sessions'!$A$5:$A$204,'Sessions'!A134)&gt;1,1,0))</x:f>
        <x:v>0</x:v>
      </x:c>
      <x:c r="S138" s="112" t="n">
        <x:f>IF('Attempts'!A134="",0,IF(COUNTIF('Attempts'!$A$5:$A$204,'Attempts'!A134)&gt;1,1,0))</x:f>
        <x:v>0</x:v>
      </x:c>
      <x:c r="T138" s="112" t="n">
        <x:f>IF('Session Training Data'!A134="",0,IF(COUNTIF('Session Training Data'!$A$5:$A$204,'Session Training Data'!A134)&gt;1,1,0))</x:f>
        <x:v>0</x:v>
      </x:c>
    </x:row>
    <x:row r="139">
      <x:c r="G139" s="112" t="n">
        <x:f>IF('Sessions'!B135="",0,IF(COUNTIF('Participants'!$A$5:$A$204,'Sessions'!B135)=0,1,0))</x:f>
        <x:v>0</x:v>
      </x:c>
      <x:c r="H139" s="112" t="n">
        <x:f>IF('Attempts'!B135="",0,IF(COUNTIF('Sessions'!$A$5:$A$204,'Attempts'!B135)=0,1,0))</x:f>
        <x:v>0</x:v>
      </x:c>
      <x:c r="I139" s="112" t="n">
        <x:f>IF('Sessions'!A135="",0,IF(COUNTIF('Expert Labels'!$B$5:$B$204,'Sessions'!A135)=0,1,0))</x:f>
        <x:v>0</x:v>
      </x:c>
      <x:c r="J139" s="112" t="n">
        <x:f>IF('Expert Labels'!B135="",0,IF(COUNTIF('Expert Labels'!$B$5:$B$204,'Expert Labels'!B135)&gt;1,1,0))</x:f>
        <x:v>0</x:v>
      </x:c>
      <x:c r="K139" s="112" t="n">
        <x:f>IF('Expert Labels'!B135="",0,IF(COUNTIF('Sessions'!$A$5:$A$204,'Expert Labels'!B135)=0,1,0))</x:f>
        <x:v>0</x:v>
      </x:c>
      <x:c r="L139" s="112" t="n">
        <x:f>IF('Session Training Data'!A135="",0,IF(COUNTIF('Sessions'!$A$5:$A$204,'Session Training Data'!A135)=0,1,0))</x:f>
        <x:v>0</x:v>
      </x:c>
      <x:c r="M139" s="112" t="n">
        <x:f>IF('Session Training Data'!AF135="",0,IF(COUNTIF('Participants'!$A$5:$A$204,'Session Training Data'!AF135)=0,1,0))</x:f>
        <x:v>0</x:v>
      </x:c>
      <x:c r="N139" s="112" t="n">
        <x:f>IF(OR('Session Training Data'!A135="",'Session Training Data'!AF135=""),0,IF(COUNTIFS('Sessions'!$A$5:$A$204,'Session Training Data'!A135,'Sessions'!$B$5:$B$204,'Session Training Data'!AF135)=0,1,0))</x:f>
        <x:v>0</x:v>
      </x:c>
      <x:c r="O139" s="112" t="n">
        <x:f>IF('Session Training Data'!AF135="",0,IF(COUNTIFS('Participants'!$A$5:$A$204,'Session Training Data'!AF135,'Participants'!$D$5:$D$204,"yes")=0,1,0))</x:f>
        <x:v>0</x:v>
      </x:c>
      <x:c r="P139" s="112" t="n">
        <x:f>IF('Session Training Data'!AF135="",0,IF(COUNTIF('Session Training Data'!$AF$5:AF135,'Session Training Data'!AF135)=1,1,0))</x:f>
        <x:v>0</x:v>
      </x:c>
      <x:c r="Q139" s="112" t="n">
        <x:f>IF('Participants'!A135="",0,IF(COUNTIF('Participants'!$A$5:$A$204,'Participants'!A135)&gt;1,1,0))</x:f>
        <x:v>0</x:v>
      </x:c>
      <x:c r="R139" s="112" t="n">
        <x:f>IF('Sessions'!A135="",0,IF(COUNTIF('Sessions'!$A$5:$A$204,'Sessions'!A135)&gt;1,1,0))</x:f>
        <x:v>0</x:v>
      </x:c>
      <x:c r="S139" s="112" t="n">
        <x:f>IF('Attempts'!A135="",0,IF(COUNTIF('Attempts'!$A$5:$A$204,'Attempts'!A135)&gt;1,1,0))</x:f>
        <x:v>0</x:v>
      </x:c>
      <x:c r="T139" s="112" t="n">
        <x:f>IF('Session Training Data'!A135="",0,IF(COUNTIF('Session Training Data'!$A$5:$A$204,'Session Training Data'!A135)&gt;1,1,0))</x:f>
        <x:v>0</x:v>
      </x:c>
    </x:row>
    <x:row r="140">
      <x:c r="G140" s="112" t="n">
        <x:f>IF('Sessions'!B136="",0,IF(COUNTIF('Participants'!$A$5:$A$204,'Sessions'!B136)=0,1,0))</x:f>
        <x:v>0</x:v>
      </x:c>
      <x:c r="H140" s="112" t="n">
        <x:f>IF('Attempts'!B136="",0,IF(COUNTIF('Sessions'!$A$5:$A$204,'Attempts'!B136)=0,1,0))</x:f>
        <x:v>0</x:v>
      </x:c>
      <x:c r="I140" s="112" t="n">
        <x:f>IF('Sessions'!A136="",0,IF(COUNTIF('Expert Labels'!$B$5:$B$204,'Sessions'!A136)=0,1,0))</x:f>
        <x:v>0</x:v>
      </x:c>
      <x:c r="J140" s="112" t="n">
        <x:f>IF('Expert Labels'!B136="",0,IF(COUNTIF('Expert Labels'!$B$5:$B$204,'Expert Labels'!B136)&gt;1,1,0))</x:f>
        <x:v>0</x:v>
      </x:c>
      <x:c r="K140" s="112" t="n">
        <x:f>IF('Expert Labels'!B136="",0,IF(COUNTIF('Sessions'!$A$5:$A$204,'Expert Labels'!B136)=0,1,0))</x:f>
        <x:v>0</x:v>
      </x:c>
      <x:c r="L140" s="112" t="n">
        <x:f>IF('Session Training Data'!A136="",0,IF(COUNTIF('Sessions'!$A$5:$A$204,'Session Training Data'!A136)=0,1,0))</x:f>
        <x:v>0</x:v>
      </x:c>
      <x:c r="M140" s="112" t="n">
        <x:f>IF('Session Training Data'!AF136="",0,IF(COUNTIF('Participants'!$A$5:$A$204,'Session Training Data'!AF136)=0,1,0))</x:f>
        <x:v>0</x:v>
      </x:c>
      <x:c r="N140" s="112" t="n">
        <x:f>IF(OR('Session Training Data'!A136="",'Session Training Data'!AF136=""),0,IF(COUNTIFS('Sessions'!$A$5:$A$204,'Session Training Data'!A136,'Sessions'!$B$5:$B$204,'Session Training Data'!AF136)=0,1,0))</x:f>
        <x:v>0</x:v>
      </x:c>
      <x:c r="O140" s="112" t="n">
        <x:f>IF('Session Training Data'!AF136="",0,IF(COUNTIFS('Participants'!$A$5:$A$204,'Session Training Data'!AF136,'Participants'!$D$5:$D$204,"yes")=0,1,0))</x:f>
        <x:v>0</x:v>
      </x:c>
      <x:c r="P140" s="112" t="n">
        <x:f>IF('Session Training Data'!AF136="",0,IF(COUNTIF('Session Training Data'!$AF$5:AF136,'Session Training Data'!AF136)=1,1,0))</x:f>
        <x:v>0</x:v>
      </x:c>
      <x:c r="Q140" s="112" t="n">
        <x:f>IF('Participants'!A136="",0,IF(COUNTIF('Participants'!$A$5:$A$204,'Participants'!A136)&gt;1,1,0))</x:f>
        <x:v>0</x:v>
      </x:c>
      <x:c r="R140" s="112" t="n">
        <x:f>IF('Sessions'!A136="",0,IF(COUNTIF('Sessions'!$A$5:$A$204,'Sessions'!A136)&gt;1,1,0))</x:f>
        <x:v>0</x:v>
      </x:c>
      <x:c r="S140" s="112" t="n">
        <x:f>IF('Attempts'!A136="",0,IF(COUNTIF('Attempts'!$A$5:$A$204,'Attempts'!A136)&gt;1,1,0))</x:f>
        <x:v>0</x:v>
      </x:c>
      <x:c r="T140" s="112" t="n">
        <x:f>IF('Session Training Data'!A136="",0,IF(COUNTIF('Session Training Data'!$A$5:$A$204,'Session Training Data'!A136)&gt;1,1,0))</x:f>
        <x:v>0</x:v>
      </x:c>
    </x:row>
    <x:row r="141">
      <x:c r="G141" s="112" t="n">
        <x:f>IF('Sessions'!B137="",0,IF(COUNTIF('Participants'!$A$5:$A$204,'Sessions'!B137)=0,1,0))</x:f>
        <x:v>0</x:v>
      </x:c>
      <x:c r="H141" s="112" t="n">
        <x:f>IF('Attempts'!B137="",0,IF(COUNTIF('Sessions'!$A$5:$A$204,'Attempts'!B137)=0,1,0))</x:f>
        <x:v>0</x:v>
      </x:c>
      <x:c r="I141" s="112" t="n">
        <x:f>IF('Sessions'!A137="",0,IF(COUNTIF('Expert Labels'!$B$5:$B$204,'Sessions'!A137)=0,1,0))</x:f>
        <x:v>0</x:v>
      </x:c>
      <x:c r="J141" s="112" t="n">
        <x:f>IF('Expert Labels'!B137="",0,IF(COUNTIF('Expert Labels'!$B$5:$B$204,'Expert Labels'!B137)&gt;1,1,0))</x:f>
        <x:v>0</x:v>
      </x:c>
      <x:c r="K141" s="112" t="n">
        <x:f>IF('Expert Labels'!B137="",0,IF(COUNTIF('Sessions'!$A$5:$A$204,'Expert Labels'!B137)=0,1,0))</x:f>
        <x:v>0</x:v>
      </x:c>
      <x:c r="L141" s="112" t="n">
        <x:f>IF('Session Training Data'!A137="",0,IF(COUNTIF('Sessions'!$A$5:$A$204,'Session Training Data'!A137)=0,1,0))</x:f>
        <x:v>0</x:v>
      </x:c>
      <x:c r="M141" s="112" t="n">
        <x:f>IF('Session Training Data'!AF137="",0,IF(COUNTIF('Participants'!$A$5:$A$204,'Session Training Data'!AF137)=0,1,0))</x:f>
        <x:v>0</x:v>
      </x:c>
      <x:c r="N141" s="112" t="n">
        <x:f>IF(OR('Session Training Data'!A137="",'Session Training Data'!AF137=""),0,IF(COUNTIFS('Sessions'!$A$5:$A$204,'Session Training Data'!A137,'Sessions'!$B$5:$B$204,'Session Training Data'!AF137)=0,1,0))</x:f>
        <x:v>0</x:v>
      </x:c>
      <x:c r="O141" s="112" t="n">
        <x:f>IF('Session Training Data'!AF137="",0,IF(COUNTIFS('Participants'!$A$5:$A$204,'Session Training Data'!AF137,'Participants'!$D$5:$D$204,"yes")=0,1,0))</x:f>
        <x:v>0</x:v>
      </x:c>
      <x:c r="P141" s="112" t="n">
        <x:f>IF('Session Training Data'!AF137="",0,IF(COUNTIF('Session Training Data'!$AF$5:AF137,'Session Training Data'!AF137)=1,1,0))</x:f>
        <x:v>0</x:v>
      </x:c>
      <x:c r="Q141" s="112" t="n">
        <x:f>IF('Participants'!A137="",0,IF(COUNTIF('Participants'!$A$5:$A$204,'Participants'!A137)&gt;1,1,0))</x:f>
        <x:v>0</x:v>
      </x:c>
      <x:c r="R141" s="112" t="n">
        <x:f>IF('Sessions'!A137="",0,IF(COUNTIF('Sessions'!$A$5:$A$204,'Sessions'!A137)&gt;1,1,0))</x:f>
        <x:v>0</x:v>
      </x:c>
      <x:c r="S141" s="112" t="n">
        <x:f>IF('Attempts'!A137="",0,IF(COUNTIF('Attempts'!$A$5:$A$204,'Attempts'!A137)&gt;1,1,0))</x:f>
        <x:v>0</x:v>
      </x:c>
      <x:c r="T141" s="112" t="n">
        <x:f>IF('Session Training Data'!A137="",0,IF(COUNTIF('Session Training Data'!$A$5:$A$204,'Session Training Data'!A137)&gt;1,1,0))</x:f>
        <x:v>0</x:v>
      </x:c>
    </x:row>
    <x:row r="142">
      <x:c r="G142" s="112" t="n">
        <x:f>IF('Sessions'!B138="",0,IF(COUNTIF('Participants'!$A$5:$A$204,'Sessions'!B138)=0,1,0))</x:f>
        <x:v>0</x:v>
      </x:c>
      <x:c r="H142" s="112" t="n">
        <x:f>IF('Attempts'!B138="",0,IF(COUNTIF('Sessions'!$A$5:$A$204,'Attempts'!B138)=0,1,0))</x:f>
        <x:v>0</x:v>
      </x:c>
      <x:c r="I142" s="112" t="n">
        <x:f>IF('Sessions'!A138="",0,IF(COUNTIF('Expert Labels'!$B$5:$B$204,'Sessions'!A138)=0,1,0))</x:f>
        <x:v>0</x:v>
      </x:c>
      <x:c r="J142" s="112" t="n">
        <x:f>IF('Expert Labels'!B138="",0,IF(COUNTIF('Expert Labels'!$B$5:$B$204,'Expert Labels'!B138)&gt;1,1,0))</x:f>
        <x:v>0</x:v>
      </x:c>
      <x:c r="K142" s="112" t="n">
        <x:f>IF('Expert Labels'!B138="",0,IF(COUNTIF('Sessions'!$A$5:$A$204,'Expert Labels'!B138)=0,1,0))</x:f>
        <x:v>0</x:v>
      </x:c>
      <x:c r="L142" s="112" t="n">
        <x:f>IF('Session Training Data'!A138="",0,IF(COUNTIF('Sessions'!$A$5:$A$204,'Session Training Data'!A138)=0,1,0))</x:f>
        <x:v>0</x:v>
      </x:c>
      <x:c r="M142" s="112" t="n">
        <x:f>IF('Session Training Data'!AF138="",0,IF(COUNTIF('Participants'!$A$5:$A$204,'Session Training Data'!AF138)=0,1,0))</x:f>
        <x:v>0</x:v>
      </x:c>
      <x:c r="N142" s="112" t="n">
        <x:f>IF(OR('Session Training Data'!A138="",'Session Training Data'!AF138=""),0,IF(COUNTIFS('Sessions'!$A$5:$A$204,'Session Training Data'!A138,'Sessions'!$B$5:$B$204,'Session Training Data'!AF138)=0,1,0))</x:f>
        <x:v>0</x:v>
      </x:c>
      <x:c r="O142" s="112" t="n">
        <x:f>IF('Session Training Data'!AF138="",0,IF(COUNTIFS('Participants'!$A$5:$A$204,'Session Training Data'!AF138,'Participants'!$D$5:$D$204,"yes")=0,1,0))</x:f>
        <x:v>0</x:v>
      </x:c>
      <x:c r="P142" s="112" t="n">
        <x:f>IF('Session Training Data'!AF138="",0,IF(COUNTIF('Session Training Data'!$AF$5:AF138,'Session Training Data'!AF138)=1,1,0))</x:f>
        <x:v>0</x:v>
      </x:c>
      <x:c r="Q142" s="112" t="n">
        <x:f>IF('Participants'!A138="",0,IF(COUNTIF('Participants'!$A$5:$A$204,'Participants'!A138)&gt;1,1,0))</x:f>
        <x:v>0</x:v>
      </x:c>
      <x:c r="R142" s="112" t="n">
        <x:f>IF('Sessions'!A138="",0,IF(COUNTIF('Sessions'!$A$5:$A$204,'Sessions'!A138)&gt;1,1,0))</x:f>
        <x:v>0</x:v>
      </x:c>
      <x:c r="S142" s="112" t="n">
        <x:f>IF('Attempts'!A138="",0,IF(COUNTIF('Attempts'!$A$5:$A$204,'Attempts'!A138)&gt;1,1,0))</x:f>
        <x:v>0</x:v>
      </x:c>
      <x:c r="T142" s="112" t="n">
        <x:f>IF('Session Training Data'!A138="",0,IF(COUNTIF('Session Training Data'!$A$5:$A$204,'Session Training Data'!A138)&gt;1,1,0))</x:f>
        <x:v>0</x:v>
      </x:c>
    </x:row>
    <x:row r="143">
      <x:c r="G143" s="112" t="n">
        <x:f>IF('Sessions'!B139="",0,IF(COUNTIF('Participants'!$A$5:$A$204,'Sessions'!B139)=0,1,0))</x:f>
        <x:v>0</x:v>
      </x:c>
      <x:c r="H143" s="112" t="n">
        <x:f>IF('Attempts'!B139="",0,IF(COUNTIF('Sessions'!$A$5:$A$204,'Attempts'!B139)=0,1,0))</x:f>
        <x:v>0</x:v>
      </x:c>
      <x:c r="I143" s="112" t="n">
        <x:f>IF('Sessions'!A139="",0,IF(COUNTIF('Expert Labels'!$B$5:$B$204,'Sessions'!A139)=0,1,0))</x:f>
        <x:v>0</x:v>
      </x:c>
      <x:c r="J143" s="112" t="n">
        <x:f>IF('Expert Labels'!B139="",0,IF(COUNTIF('Expert Labels'!$B$5:$B$204,'Expert Labels'!B139)&gt;1,1,0))</x:f>
        <x:v>0</x:v>
      </x:c>
      <x:c r="K143" s="112" t="n">
        <x:f>IF('Expert Labels'!B139="",0,IF(COUNTIF('Sessions'!$A$5:$A$204,'Expert Labels'!B139)=0,1,0))</x:f>
        <x:v>0</x:v>
      </x:c>
      <x:c r="L143" s="112" t="n">
        <x:f>IF('Session Training Data'!A139="",0,IF(COUNTIF('Sessions'!$A$5:$A$204,'Session Training Data'!A139)=0,1,0))</x:f>
        <x:v>0</x:v>
      </x:c>
      <x:c r="M143" s="112" t="n">
        <x:f>IF('Session Training Data'!AF139="",0,IF(COUNTIF('Participants'!$A$5:$A$204,'Session Training Data'!AF139)=0,1,0))</x:f>
        <x:v>0</x:v>
      </x:c>
      <x:c r="N143" s="112" t="n">
        <x:f>IF(OR('Session Training Data'!A139="",'Session Training Data'!AF139=""),0,IF(COUNTIFS('Sessions'!$A$5:$A$204,'Session Training Data'!A139,'Sessions'!$B$5:$B$204,'Session Training Data'!AF139)=0,1,0))</x:f>
        <x:v>0</x:v>
      </x:c>
      <x:c r="O143" s="112" t="n">
        <x:f>IF('Session Training Data'!AF139="",0,IF(COUNTIFS('Participants'!$A$5:$A$204,'Session Training Data'!AF139,'Participants'!$D$5:$D$204,"yes")=0,1,0))</x:f>
        <x:v>0</x:v>
      </x:c>
      <x:c r="P143" s="112" t="n">
        <x:f>IF('Session Training Data'!AF139="",0,IF(COUNTIF('Session Training Data'!$AF$5:AF139,'Session Training Data'!AF139)=1,1,0))</x:f>
        <x:v>0</x:v>
      </x:c>
      <x:c r="Q143" s="112" t="n">
        <x:f>IF('Participants'!A139="",0,IF(COUNTIF('Participants'!$A$5:$A$204,'Participants'!A139)&gt;1,1,0))</x:f>
        <x:v>0</x:v>
      </x:c>
      <x:c r="R143" s="112" t="n">
        <x:f>IF('Sessions'!A139="",0,IF(COUNTIF('Sessions'!$A$5:$A$204,'Sessions'!A139)&gt;1,1,0))</x:f>
        <x:v>0</x:v>
      </x:c>
      <x:c r="S143" s="112" t="n">
        <x:f>IF('Attempts'!A139="",0,IF(COUNTIF('Attempts'!$A$5:$A$204,'Attempts'!A139)&gt;1,1,0))</x:f>
        <x:v>0</x:v>
      </x:c>
      <x:c r="T143" s="112" t="n">
        <x:f>IF('Session Training Data'!A139="",0,IF(COUNTIF('Session Training Data'!$A$5:$A$204,'Session Training Data'!A139)&gt;1,1,0))</x:f>
        <x:v>0</x:v>
      </x:c>
    </x:row>
    <x:row r="144">
      <x:c r="G144" s="112" t="n">
        <x:f>IF('Sessions'!B140="",0,IF(COUNTIF('Participants'!$A$5:$A$204,'Sessions'!B140)=0,1,0))</x:f>
        <x:v>0</x:v>
      </x:c>
      <x:c r="H144" s="112" t="n">
        <x:f>IF('Attempts'!B140="",0,IF(COUNTIF('Sessions'!$A$5:$A$204,'Attempts'!B140)=0,1,0))</x:f>
        <x:v>0</x:v>
      </x:c>
      <x:c r="I144" s="112" t="n">
        <x:f>IF('Sessions'!A140="",0,IF(COUNTIF('Expert Labels'!$B$5:$B$204,'Sessions'!A140)=0,1,0))</x:f>
        <x:v>0</x:v>
      </x:c>
      <x:c r="J144" s="112" t="n">
        <x:f>IF('Expert Labels'!B140="",0,IF(COUNTIF('Expert Labels'!$B$5:$B$204,'Expert Labels'!B140)&gt;1,1,0))</x:f>
        <x:v>0</x:v>
      </x:c>
      <x:c r="K144" s="112" t="n">
        <x:f>IF('Expert Labels'!B140="",0,IF(COUNTIF('Sessions'!$A$5:$A$204,'Expert Labels'!B140)=0,1,0))</x:f>
        <x:v>0</x:v>
      </x:c>
      <x:c r="L144" s="112" t="n">
        <x:f>IF('Session Training Data'!A140="",0,IF(COUNTIF('Sessions'!$A$5:$A$204,'Session Training Data'!A140)=0,1,0))</x:f>
        <x:v>0</x:v>
      </x:c>
      <x:c r="M144" s="112" t="n">
        <x:f>IF('Session Training Data'!AF140="",0,IF(COUNTIF('Participants'!$A$5:$A$204,'Session Training Data'!AF140)=0,1,0))</x:f>
        <x:v>0</x:v>
      </x:c>
      <x:c r="N144" s="112" t="n">
        <x:f>IF(OR('Session Training Data'!A140="",'Session Training Data'!AF140=""),0,IF(COUNTIFS('Sessions'!$A$5:$A$204,'Session Training Data'!A140,'Sessions'!$B$5:$B$204,'Session Training Data'!AF140)=0,1,0))</x:f>
        <x:v>0</x:v>
      </x:c>
      <x:c r="O144" s="112" t="n">
        <x:f>IF('Session Training Data'!AF140="",0,IF(COUNTIFS('Participants'!$A$5:$A$204,'Session Training Data'!AF140,'Participants'!$D$5:$D$204,"yes")=0,1,0))</x:f>
        <x:v>0</x:v>
      </x:c>
      <x:c r="P144" s="112" t="n">
        <x:f>IF('Session Training Data'!AF140="",0,IF(COUNTIF('Session Training Data'!$AF$5:AF140,'Session Training Data'!AF140)=1,1,0))</x:f>
        <x:v>0</x:v>
      </x:c>
      <x:c r="Q144" s="112" t="n">
        <x:f>IF('Participants'!A140="",0,IF(COUNTIF('Participants'!$A$5:$A$204,'Participants'!A140)&gt;1,1,0))</x:f>
        <x:v>0</x:v>
      </x:c>
      <x:c r="R144" s="112" t="n">
        <x:f>IF('Sessions'!A140="",0,IF(COUNTIF('Sessions'!$A$5:$A$204,'Sessions'!A140)&gt;1,1,0))</x:f>
        <x:v>0</x:v>
      </x:c>
      <x:c r="S144" s="112" t="n">
        <x:f>IF('Attempts'!A140="",0,IF(COUNTIF('Attempts'!$A$5:$A$204,'Attempts'!A140)&gt;1,1,0))</x:f>
        <x:v>0</x:v>
      </x:c>
      <x:c r="T144" s="112" t="n">
        <x:f>IF('Session Training Data'!A140="",0,IF(COUNTIF('Session Training Data'!$A$5:$A$204,'Session Training Data'!A140)&gt;1,1,0))</x:f>
        <x:v>0</x:v>
      </x:c>
    </x:row>
    <x:row r="145">
      <x:c r="G145" s="112" t="n">
        <x:f>IF('Sessions'!B141="",0,IF(COUNTIF('Participants'!$A$5:$A$204,'Sessions'!B141)=0,1,0))</x:f>
        <x:v>0</x:v>
      </x:c>
      <x:c r="H145" s="112" t="n">
        <x:f>IF('Attempts'!B141="",0,IF(COUNTIF('Sessions'!$A$5:$A$204,'Attempts'!B141)=0,1,0))</x:f>
        <x:v>0</x:v>
      </x:c>
      <x:c r="I145" s="112" t="n">
        <x:f>IF('Sessions'!A141="",0,IF(COUNTIF('Expert Labels'!$B$5:$B$204,'Sessions'!A141)=0,1,0))</x:f>
        <x:v>0</x:v>
      </x:c>
      <x:c r="J145" s="112" t="n">
        <x:f>IF('Expert Labels'!B141="",0,IF(COUNTIF('Expert Labels'!$B$5:$B$204,'Expert Labels'!B141)&gt;1,1,0))</x:f>
        <x:v>0</x:v>
      </x:c>
      <x:c r="K145" s="112" t="n">
        <x:f>IF('Expert Labels'!B141="",0,IF(COUNTIF('Sessions'!$A$5:$A$204,'Expert Labels'!B141)=0,1,0))</x:f>
        <x:v>0</x:v>
      </x:c>
      <x:c r="L145" s="112" t="n">
        <x:f>IF('Session Training Data'!A141="",0,IF(COUNTIF('Sessions'!$A$5:$A$204,'Session Training Data'!A141)=0,1,0))</x:f>
        <x:v>0</x:v>
      </x:c>
      <x:c r="M145" s="112" t="n">
        <x:f>IF('Session Training Data'!AF141="",0,IF(COUNTIF('Participants'!$A$5:$A$204,'Session Training Data'!AF141)=0,1,0))</x:f>
        <x:v>0</x:v>
      </x:c>
      <x:c r="N145" s="112" t="n">
        <x:f>IF(OR('Session Training Data'!A141="",'Session Training Data'!AF141=""),0,IF(COUNTIFS('Sessions'!$A$5:$A$204,'Session Training Data'!A141,'Sessions'!$B$5:$B$204,'Session Training Data'!AF141)=0,1,0))</x:f>
        <x:v>0</x:v>
      </x:c>
      <x:c r="O145" s="112" t="n">
        <x:f>IF('Session Training Data'!AF141="",0,IF(COUNTIFS('Participants'!$A$5:$A$204,'Session Training Data'!AF141,'Participants'!$D$5:$D$204,"yes")=0,1,0))</x:f>
        <x:v>0</x:v>
      </x:c>
      <x:c r="P145" s="112" t="n">
        <x:f>IF('Session Training Data'!AF141="",0,IF(COUNTIF('Session Training Data'!$AF$5:AF141,'Session Training Data'!AF141)=1,1,0))</x:f>
        <x:v>0</x:v>
      </x:c>
      <x:c r="Q145" s="112" t="n">
        <x:f>IF('Participants'!A141="",0,IF(COUNTIF('Participants'!$A$5:$A$204,'Participants'!A141)&gt;1,1,0))</x:f>
        <x:v>0</x:v>
      </x:c>
      <x:c r="R145" s="112" t="n">
        <x:f>IF('Sessions'!A141="",0,IF(COUNTIF('Sessions'!$A$5:$A$204,'Sessions'!A141)&gt;1,1,0))</x:f>
        <x:v>0</x:v>
      </x:c>
      <x:c r="S145" s="112" t="n">
        <x:f>IF('Attempts'!A141="",0,IF(COUNTIF('Attempts'!$A$5:$A$204,'Attempts'!A141)&gt;1,1,0))</x:f>
        <x:v>0</x:v>
      </x:c>
      <x:c r="T145" s="112" t="n">
        <x:f>IF('Session Training Data'!A141="",0,IF(COUNTIF('Session Training Data'!$A$5:$A$204,'Session Training Data'!A141)&gt;1,1,0))</x:f>
        <x:v>0</x:v>
      </x:c>
    </x:row>
    <x:row r="146">
      <x:c r="G146" s="112" t="n">
        <x:f>IF('Sessions'!B142="",0,IF(COUNTIF('Participants'!$A$5:$A$204,'Sessions'!B142)=0,1,0))</x:f>
        <x:v>0</x:v>
      </x:c>
      <x:c r="H146" s="112" t="n">
        <x:f>IF('Attempts'!B142="",0,IF(COUNTIF('Sessions'!$A$5:$A$204,'Attempts'!B142)=0,1,0))</x:f>
        <x:v>0</x:v>
      </x:c>
      <x:c r="I146" s="112" t="n">
        <x:f>IF('Sessions'!A142="",0,IF(COUNTIF('Expert Labels'!$B$5:$B$204,'Sessions'!A142)=0,1,0))</x:f>
        <x:v>0</x:v>
      </x:c>
      <x:c r="J146" s="112" t="n">
        <x:f>IF('Expert Labels'!B142="",0,IF(COUNTIF('Expert Labels'!$B$5:$B$204,'Expert Labels'!B142)&gt;1,1,0))</x:f>
        <x:v>0</x:v>
      </x:c>
      <x:c r="K146" s="112" t="n">
        <x:f>IF('Expert Labels'!B142="",0,IF(COUNTIF('Sessions'!$A$5:$A$204,'Expert Labels'!B142)=0,1,0))</x:f>
        <x:v>0</x:v>
      </x:c>
      <x:c r="L146" s="112" t="n">
        <x:f>IF('Session Training Data'!A142="",0,IF(COUNTIF('Sessions'!$A$5:$A$204,'Session Training Data'!A142)=0,1,0))</x:f>
        <x:v>0</x:v>
      </x:c>
      <x:c r="M146" s="112" t="n">
        <x:f>IF('Session Training Data'!AF142="",0,IF(COUNTIF('Participants'!$A$5:$A$204,'Session Training Data'!AF142)=0,1,0))</x:f>
        <x:v>0</x:v>
      </x:c>
      <x:c r="N146" s="112" t="n">
        <x:f>IF(OR('Session Training Data'!A142="",'Session Training Data'!AF142=""),0,IF(COUNTIFS('Sessions'!$A$5:$A$204,'Session Training Data'!A142,'Sessions'!$B$5:$B$204,'Session Training Data'!AF142)=0,1,0))</x:f>
        <x:v>0</x:v>
      </x:c>
      <x:c r="O146" s="112" t="n">
        <x:f>IF('Session Training Data'!AF142="",0,IF(COUNTIFS('Participants'!$A$5:$A$204,'Session Training Data'!AF142,'Participants'!$D$5:$D$204,"yes")=0,1,0))</x:f>
        <x:v>0</x:v>
      </x:c>
      <x:c r="P146" s="112" t="n">
        <x:f>IF('Session Training Data'!AF142="",0,IF(COUNTIF('Session Training Data'!$AF$5:AF142,'Session Training Data'!AF142)=1,1,0))</x:f>
        <x:v>0</x:v>
      </x:c>
      <x:c r="Q146" s="112" t="n">
        <x:f>IF('Participants'!A142="",0,IF(COUNTIF('Participants'!$A$5:$A$204,'Participants'!A142)&gt;1,1,0))</x:f>
        <x:v>0</x:v>
      </x:c>
      <x:c r="R146" s="112" t="n">
        <x:f>IF('Sessions'!A142="",0,IF(COUNTIF('Sessions'!$A$5:$A$204,'Sessions'!A142)&gt;1,1,0))</x:f>
        <x:v>0</x:v>
      </x:c>
      <x:c r="S146" s="112" t="n">
        <x:f>IF('Attempts'!A142="",0,IF(COUNTIF('Attempts'!$A$5:$A$204,'Attempts'!A142)&gt;1,1,0))</x:f>
        <x:v>0</x:v>
      </x:c>
      <x:c r="T146" s="112" t="n">
        <x:f>IF('Session Training Data'!A142="",0,IF(COUNTIF('Session Training Data'!$A$5:$A$204,'Session Training Data'!A142)&gt;1,1,0))</x:f>
        <x:v>0</x:v>
      </x:c>
    </x:row>
    <x:row r="147">
      <x:c r="G147" s="112" t="n">
        <x:f>IF('Sessions'!B143="",0,IF(COUNTIF('Participants'!$A$5:$A$204,'Sessions'!B143)=0,1,0))</x:f>
        <x:v>0</x:v>
      </x:c>
      <x:c r="H147" s="112" t="n">
        <x:f>IF('Attempts'!B143="",0,IF(COUNTIF('Sessions'!$A$5:$A$204,'Attempts'!B143)=0,1,0))</x:f>
        <x:v>0</x:v>
      </x:c>
      <x:c r="I147" s="112" t="n">
        <x:f>IF('Sessions'!A143="",0,IF(COUNTIF('Expert Labels'!$B$5:$B$204,'Sessions'!A143)=0,1,0))</x:f>
        <x:v>0</x:v>
      </x:c>
      <x:c r="J147" s="112" t="n">
        <x:f>IF('Expert Labels'!B143="",0,IF(COUNTIF('Expert Labels'!$B$5:$B$204,'Expert Labels'!B143)&gt;1,1,0))</x:f>
        <x:v>0</x:v>
      </x:c>
      <x:c r="K147" s="112" t="n">
        <x:f>IF('Expert Labels'!B143="",0,IF(COUNTIF('Sessions'!$A$5:$A$204,'Expert Labels'!B143)=0,1,0))</x:f>
        <x:v>0</x:v>
      </x:c>
      <x:c r="L147" s="112" t="n">
        <x:f>IF('Session Training Data'!A143="",0,IF(COUNTIF('Sessions'!$A$5:$A$204,'Session Training Data'!A143)=0,1,0))</x:f>
        <x:v>0</x:v>
      </x:c>
      <x:c r="M147" s="112" t="n">
        <x:f>IF('Session Training Data'!AF143="",0,IF(COUNTIF('Participants'!$A$5:$A$204,'Session Training Data'!AF143)=0,1,0))</x:f>
        <x:v>0</x:v>
      </x:c>
      <x:c r="N147" s="112" t="n">
        <x:f>IF(OR('Session Training Data'!A143="",'Session Training Data'!AF143=""),0,IF(COUNTIFS('Sessions'!$A$5:$A$204,'Session Training Data'!A143,'Sessions'!$B$5:$B$204,'Session Training Data'!AF143)=0,1,0))</x:f>
        <x:v>0</x:v>
      </x:c>
      <x:c r="O147" s="112" t="n">
        <x:f>IF('Session Training Data'!AF143="",0,IF(COUNTIFS('Participants'!$A$5:$A$204,'Session Training Data'!AF143,'Participants'!$D$5:$D$204,"yes")=0,1,0))</x:f>
        <x:v>0</x:v>
      </x:c>
      <x:c r="P147" s="112" t="n">
        <x:f>IF('Session Training Data'!AF143="",0,IF(COUNTIF('Session Training Data'!$AF$5:AF143,'Session Training Data'!AF143)=1,1,0))</x:f>
        <x:v>0</x:v>
      </x:c>
      <x:c r="Q147" s="112" t="n">
        <x:f>IF('Participants'!A143="",0,IF(COUNTIF('Participants'!$A$5:$A$204,'Participants'!A143)&gt;1,1,0))</x:f>
        <x:v>0</x:v>
      </x:c>
      <x:c r="R147" s="112" t="n">
        <x:f>IF('Sessions'!A143="",0,IF(COUNTIF('Sessions'!$A$5:$A$204,'Sessions'!A143)&gt;1,1,0))</x:f>
        <x:v>0</x:v>
      </x:c>
      <x:c r="S147" s="112" t="n">
        <x:f>IF('Attempts'!A143="",0,IF(COUNTIF('Attempts'!$A$5:$A$204,'Attempts'!A143)&gt;1,1,0))</x:f>
        <x:v>0</x:v>
      </x:c>
      <x:c r="T147" s="112" t="n">
        <x:f>IF('Session Training Data'!A143="",0,IF(COUNTIF('Session Training Data'!$A$5:$A$204,'Session Training Data'!A143)&gt;1,1,0))</x:f>
        <x:v>0</x:v>
      </x:c>
    </x:row>
    <x:row r="148">
      <x:c r="G148" s="112" t="n">
        <x:f>IF('Sessions'!B144="",0,IF(COUNTIF('Participants'!$A$5:$A$204,'Sessions'!B144)=0,1,0))</x:f>
        <x:v>0</x:v>
      </x:c>
      <x:c r="H148" s="112" t="n">
        <x:f>IF('Attempts'!B144="",0,IF(COUNTIF('Sessions'!$A$5:$A$204,'Attempts'!B144)=0,1,0))</x:f>
        <x:v>0</x:v>
      </x:c>
      <x:c r="I148" s="112" t="n">
        <x:f>IF('Sessions'!A144="",0,IF(COUNTIF('Expert Labels'!$B$5:$B$204,'Sessions'!A144)=0,1,0))</x:f>
        <x:v>0</x:v>
      </x:c>
      <x:c r="J148" s="112" t="n">
        <x:f>IF('Expert Labels'!B144="",0,IF(COUNTIF('Expert Labels'!$B$5:$B$204,'Expert Labels'!B144)&gt;1,1,0))</x:f>
        <x:v>0</x:v>
      </x:c>
      <x:c r="K148" s="112" t="n">
        <x:f>IF('Expert Labels'!B144="",0,IF(COUNTIF('Sessions'!$A$5:$A$204,'Expert Labels'!B144)=0,1,0))</x:f>
        <x:v>0</x:v>
      </x:c>
      <x:c r="L148" s="112" t="n">
        <x:f>IF('Session Training Data'!A144="",0,IF(COUNTIF('Sessions'!$A$5:$A$204,'Session Training Data'!A144)=0,1,0))</x:f>
        <x:v>0</x:v>
      </x:c>
      <x:c r="M148" s="112" t="n">
        <x:f>IF('Session Training Data'!AF144="",0,IF(COUNTIF('Participants'!$A$5:$A$204,'Session Training Data'!AF144)=0,1,0))</x:f>
        <x:v>0</x:v>
      </x:c>
      <x:c r="N148" s="112" t="n">
        <x:f>IF(OR('Session Training Data'!A144="",'Session Training Data'!AF144=""),0,IF(COUNTIFS('Sessions'!$A$5:$A$204,'Session Training Data'!A144,'Sessions'!$B$5:$B$204,'Session Training Data'!AF144)=0,1,0))</x:f>
        <x:v>0</x:v>
      </x:c>
      <x:c r="O148" s="112" t="n">
        <x:f>IF('Session Training Data'!AF144="",0,IF(COUNTIFS('Participants'!$A$5:$A$204,'Session Training Data'!AF144,'Participants'!$D$5:$D$204,"yes")=0,1,0))</x:f>
        <x:v>0</x:v>
      </x:c>
      <x:c r="P148" s="112" t="n">
        <x:f>IF('Session Training Data'!AF144="",0,IF(COUNTIF('Session Training Data'!$AF$5:AF144,'Session Training Data'!AF144)=1,1,0))</x:f>
        <x:v>0</x:v>
      </x:c>
      <x:c r="Q148" s="112" t="n">
        <x:f>IF('Participants'!A144="",0,IF(COUNTIF('Participants'!$A$5:$A$204,'Participants'!A144)&gt;1,1,0))</x:f>
        <x:v>0</x:v>
      </x:c>
      <x:c r="R148" s="112" t="n">
        <x:f>IF('Sessions'!A144="",0,IF(COUNTIF('Sessions'!$A$5:$A$204,'Sessions'!A144)&gt;1,1,0))</x:f>
        <x:v>0</x:v>
      </x:c>
      <x:c r="S148" s="112" t="n">
        <x:f>IF('Attempts'!A144="",0,IF(COUNTIF('Attempts'!$A$5:$A$204,'Attempts'!A144)&gt;1,1,0))</x:f>
        <x:v>0</x:v>
      </x:c>
      <x:c r="T148" s="112" t="n">
        <x:f>IF('Session Training Data'!A144="",0,IF(COUNTIF('Session Training Data'!$A$5:$A$204,'Session Training Data'!A144)&gt;1,1,0))</x:f>
        <x:v>0</x:v>
      </x:c>
    </x:row>
    <x:row r="149">
      <x:c r="G149" s="112" t="n">
        <x:f>IF('Sessions'!B145="",0,IF(COUNTIF('Participants'!$A$5:$A$204,'Sessions'!B145)=0,1,0))</x:f>
        <x:v>0</x:v>
      </x:c>
      <x:c r="H149" s="112" t="n">
        <x:f>IF('Attempts'!B145="",0,IF(COUNTIF('Sessions'!$A$5:$A$204,'Attempts'!B145)=0,1,0))</x:f>
        <x:v>0</x:v>
      </x:c>
      <x:c r="I149" s="112" t="n">
        <x:f>IF('Sessions'!A145="",0,IF(COUNTIF('Expert Labels'!$B$5:$B$204,'Sessions'!A145)=0,1,0))</x:f>
        <x:v>0</x:v>
      </x:c>
      <x:c r="J149" s="112" t="n">
        <x:f>IF('Expert Labels'!B145="",0,IF(COUNTIF('Expert Labels'!$B$5:$B$204,'Expert Labels'!B145)&gt;1,1,0))</x:f>
        <x:v>0</x:v>
      </x:c>
      <x:c r="K149" s="112" t="n">
        <x:f>IF('Expert Labels'!B145="",0,IF(COUNTIF('Sessions'!$A$5:$A$204,'Expert Labels'!B145)=0,1,0))</x:f>
        <x:v>0</x:v>
      </x:c>
      <x:c r="L149" s="112" t="n">
        <x:f>IF('Session Training Data'!A145="",0,IF(COUNTIF('Sessions'!$A$5:$A$204,'Session Training Data'!A145)=0,1,0))</x:f>
        <x:v>0</x:v>
      </x:c>
      <x:c r="M149" s="112" t="n">
        <x:f>IF('Session Training Data'!AF145="",0,IF(COUNTIF('Participants'!$A$5:$A$204,'Session Training Data'!AF145)=0,1,0))</x:f>
        <x:v>0</x:v>
      </x:c>
      <x:c r="N149" s="112" t="n">
        <x:f>IF(OR('Session Training Data'!A145="",'Session Training Data'!AF145=""),0,IF(COUNTIFS('Sessions'!$A$5:$A$204,'Session Training Data'!A145,'Sessions'!$B$5:$B$204,'Session Training Data'!AF145)=0,1,0))</x:f>
        <x:v>0</x:v>
      </x:c>
      <x:c r="O149" s="112" t="n">
        <x:f>IF('Session Training Data'!AF145="",0,IF(COUNTIFS('Participants'!$A$5:$A$204,'Session Training Data'!AF145,'Participants'!$D$5:$D$204,"yes")=0,1,0))</x:f>
        <x:v>0</x:v>
      </x:c>
      <x:c r="P149" s="112" t="n">
        <x:f>IF('Session Training Data'!AF145="",0,IF(COUNTIF('Session Training Data'!$AF$5:AF145,'Session Training Data'!AF145)=1,1,0))</x:f>
        <x:v>0</x:v>
      </x:c>
      <x:c r="Q149" s="112" t="n">
        <x:f>IF('Participants'!A145="",0,IF(COUNTIF('Participants'!$A$5:$A$204,'Participants'!A145)&gt;1,1,0))</x:f>
        <x:v>0</x:v>
      </x:c>
      <x:c r="R149" s="112" t="n">
        <x:f>IF('Sessions'!A145="",0,IF(COUNTIF('Sessions'!$A$5:$A$204,'Sessions'!A145)&gt;1,1,0))</x:f>
        <x:v>0</x:v>
      </x:c>
      <x:c r="S149" s="112" t="n">
        <x:f>IF('Attempts'!A145="",0,IF(COUNTIF('Attempts'!$A$5:$A$204,'Attempts'!A145)&gt;1,1,0))</x:f>
        <x:v>0</x:v>
      </x:c>
      <x:c r="T149" s="112" t="n">
        <x:f>IF('Session Training Data'!A145="",0,IF(COUNTIF('Session Training Data'!$A$5:$A$204,'Session Training Data'!A145)&gt;1,1,0))</x:f>
        <x:v>0</x:v>
      </x:c>
    </x:row>
    <x:row r="150">
      <x:c r="G150" s="112" t="n">
        <x:f>IF('Sessions'!B146="",0,IF(COUNTIF('Participants'!$A$5:$A$204,'Sessions'!B146)=0,1,0))</x:f>
        <x:v>0</x:v>
      </x:c>
      <x:c r="H150" s="112" t="n">
        <x:f>IF('Attempts'!B146="",0,IF(COUNTIF('Sessions'!$A$5:$A$204,'Attempts'!B146)=0,1,0))</x:f>
        <x:v>0</x:v>
      </x:c>
      <x:c r="I150" s="112" t="n">
        <x:f>IF('Sessions'!A146="",0,IF(COUNTIF('Expert Labels'!$B$5:$B$204,'Sessions'!A146)=0,1,0))</x:f>
        <x:v>0</x:v>
      </x:c>
      <x:c r="J150" s="112" t="n">
        <x:f>IF('Expert Labels'!B146="",0,IF(COUNTIF('Expert Labels'!$B$5:$B$204,'Expert Labels'!B146)&gt;1,1,0))</x:f>
        <x:v>0</x:v>
      </x:c>
      <x:c r="K150" s="112" t="n">
        <x:f>IF('Expert Labels'!B146="",0,IF(COUNTIF('Sessions'!$A$5:$A$204,'Expert Labels'!B146)=0,1,0))</x:f>
        <x:v>0</x:v>
      </x:c>
      <x:c r="L150" s="112" t="n">
        <x:f>IF('Session Training Data'!A146="",0,IF(COUNTIF('Sessions'!$A$5:$A$204,'Session Training Data'!A146)=0,1,0))</x:f>
        <x:v>0</x:v>
      </x:c>
      <x:c r="M150" s="112" t="n">
        <x:f>IF('Session Training Data'!AF146="",0,IF(COUNTIF('Participants'!$A$5:$A$204,'Session Training Data'!AF146)=0,1,0))</x:f>
        <x:v>0</x:v>
      </x:c>
      <x:c r="N150" s="112" t="n">
        <x:f>IF(OR('Session Training Data'!A146="",'Session Training Data'!AF146=""),0,IF(COUNTIFS('Sessions'!$A$5:$A$204,'Session Training Data'!A146,'Sessions'!$B$5:$B$204,'Session Training Data'!AF146)=0,1,0))</x:f>
        <x:v>0</x:v>
      </x:c>
      <x:c r="O150" s="112" t="n">
        <x:f>IF('Session Training Data'!AF146="",0,IF(COUNTIFS('Participants'!$A$5:$A$204,'Session Training Data'!AF146,'Participants'!$D$5:$D$204,"yes")=0,1,0))</x:f>
        <x:v>0</x:v>
      </x:c>
      <x:c r="P150" s="112" t="n">
        <x:f>IF('Session Training Data'!AF146="",0,IF(COUNTIF('Session Training Data'!$AF$5:AF146,'Session Training Data'!AF146)=1,1,0))</x:f>
        <x:v>0</x:v>
      </x:c>
      <x:c r="Q150" s="112" t="n">
        <x:f>IF('Participants'!A146="",0,IF(COUNTIF('Participants'!$A$5:$A$204,'Participants'!A146)&gt;1,1,0))</x:f>
        <x:v>0</x:v>
      </x:c>
      <x:c r="R150" s="112" t="n">
        <x:f>IF('Sessions'!A146="",0,IF(COUNTIF('Sessions'!$A$5:$A$204,'Sessions'!A146)&gt;1,1,0))</x:f>
        <x:v>0</x:v>
      </x:c>
      <x:c r="S150" s="112" t="n">
        <x:f>IF('Attempts'!A146="",0,IF(COUNTIF('Attempts'!$A$5:$A$204,'Attempts'!A146)&gt;1,1,0))</x:f>
        <x:v>0</x:v>
      </x:c>
      <x:c r="T150" s="112" t="n">
        <x:f>IF('Session Training Data'!A146="",0,IF(COUNTIF('Session Training Data'!$A$5:$A$204,'Session Training Data'!A146)&gt;1,1,0))</x:f>
        <x:v>0</x:v>
      </x:c>
    </x:row>
    <x:row r="151">
      <x:c r="G151" s="112" t="n">
        <x:f>IF('Sessions'!B147="",0,IF(COUNTIF('Participants'!$A$5:$A$204,'Sessions'!B147)=0,1,0))</x:f>
        <x:v>0</x:v>
      </x:c>
      <x:c r="H151" s="112" t="n">
        <x:f>IF('Attempts'!B147="",0,IF(COUNTIF('Sessions'!$A$5:$A$204,'Attempts'!B147)=0,1,0))</x:f>
        <x:v>0</x:v>
      </x:c>
      <x:c r="I151" s="112" t="n">
        <x:f>IF('Sessions'!A147="",0,IF(COUNTIF('Expert Labels'!$B$5:$B$204,'Sessions'!A147)=0,1,0))</x:f>
        <x:v>0</x:v>
      </x:c>
      <x:c r="J151" s="112" t="n">
        <x:f>IF('Expert Labels'!B147="",0,IF(COUNTIF('Expert Labels'!$B$5:$B$204,'Expert Labels'!B147)&gt;1,1,0))</x:f>
        <x:v>0</x:v>
      </x:c>
      <x:c r="K151" s="112" t="n">
        <x:f>IF('Expert Labels'!B147="",0,IF(COUNTIF('Sessions'!$A$5:$A$204,'Expert Labels'!B147)=0,1,0))</x:f>
        <x:v>0</x:v>
      </x:c>
      <x:c r="L151" s="112" t="n">
        <x:f>IF('Session Training Data'!A147="",0,IF(COUNTIF('Sessions'!$A$5:$A$204,'Session Training Data'!A147)=0,1,0))</x:f>
        <x:v>0</x:v>
      </x:c>
      <x:c r="M151" s="112" t="n">
        <x:f>IF('Session Training Data'!AF147="",0,IF(COUNTIF('Participants'!$A$5:$A$204,'Session Training Data'!AF147)=0,1,0))</x:f>
        <x:v>0</x:v>
      </x:c>
      <x:c r="N151" s="112" t="n">
        <x:f>IF(OR('Session Training Data'!A147="",'Session Training Data'!AF147=""),0,IF(COUNTIFS('Sessions'!$A$5:$A$204,'Session Training Data'!A147,'Sessions'!$B$5:$B$204,'Session Training Data'!AF147)=0,1,0))</x:f>
        <x:v>0</x:v>
      </x:c>
      <x:c r="O151" s="112" t="n">
        <x:f>IF('Session Training Data'!AF147="",0,IF(COUNTIFS('Participants'!$A$5:$A$204,'Session Training Data'!AF147,'Participants'!$D$5:$D$204,"yes")=0,1,0))</x:f>
        <x:v>0</x:v>
      </x:c>
      <x:c r="P151" s="112" t="n">
        <x:f>IF('Session Training Data'!AF147="",0,IF(COUNTIF('Session Training Data'!$AF$5:AF147,'Session Training Data'!AF147)=1,1,0))</x:f>
        <x:v>0</x:v>
      </x:c>
      <x:c r="Q151" s="112" t="n">
        <x:f>IF('Participants'!A147="",0,IF(COUNTIF('Participants'!$A$5:$A$204,'Participants'!A147)&gt;1,1,0))</x:f>
        <x:v>0</x:v>
      </x:c>
      <x:c r="R151" s="112" t="n">
        <x:f>IF('Sessions'!A147="",0,IF(COUNTIF('Sessions'!$A$5:$A$204,'Sessions'!A147)&gt;1,1,0))</x:f>
        <x:v>0</x:v>
      </x:c>
      <x:c r="S151" s="112" t="n">
        <x:f>IF('Attempts'!A147="",0,IF(COUNTIF('Attempts'!$A$5:$A$204,'Attempts'!A147)&gt;1,1,0))</x:f>
        <x:v>0</x:v>
      </x:c>
      <x:c r="T151" s="112" t="n">
        <x:f>IF('Session Training Data'!A147="",0,IF(COUNTIF('Session Training Data'!$A$5:$A$204,'Session Training Data'!A147)&gt;1,1,0))</x:f>
        <x:v>0</x:v>
      </x:c>
    </x:row>
    <x:row r="152">
      <x:c r="G152" s="112" t="n">
        <x:f>IF('Sessions'!B148="",0,IF(COUNTIF('Participants'!$A$5:$A$204,'Sessions'!B148)=0,1,0))</x:f>
        <x:v>0</x:v>
      </x:c>
      <x:c r="H152" s="112" t="n">
        <x:f>IF('Attempts'!B148="",0,IF(COUNTIF('Sessions'!$A$5:$A$204,'Attempts'!B148)=0,1,0))</x:f>
        <x:v>0</x:v>
      </x:c>
      <x:c r="I152" s="112" t="n">
        <x:f>IF('Sessions'!A148="",0,IF(COUNTIF('Expert Labels'!$B$5:$B$204,'Sessions'!A148)=0,1,0))</x:f>
        <x:v>0</x:v>
      </x:c>
      <x:c r="J152" s="112" t="n">
        <x:f>IF('Expert Labels'!B148="",0,IF(COUNTIF('Expert Labels'!$B$5:$B$204,'Expert Labels'!B148)&gt;1,1,0))</x:f>
        <x:v>0</x:v>
      </x:c>
      <x:c r="K152" s="112" t="n">
        <x:f>IF('Expert Labels'!B148="",0,IF(COUNTIF('Sessions'!$A$5:$A$204,'Expert Labels'!B148)=0,1,0))</x:f>
        <x:v>0</x:v>
      </x:c>
      <x:c r="L152" s="112" t="n">
        <x:f>IF('Session Training Data'!A148="",0,IF(COUNTIF('Sessions'!$A$5:$A$204,'Session Training Data'!A148)=0,1,0))</x:f>
        <x:v>0</x:v>
      </x:c>
      <x:c r="M152" s="112" t="n">
        <x:f>IF('Session Training Data'!AF148="",0,IF(COUNTIF('Participants'!$A$5:$A$204,'Session Training Data'!AF148)=0,1,0))</x:f>
        <x:v>0</x:v>
      </x:c>
      <x:c r="N152" s="112" t="n">
        <x:f>IF(OR('Session Training Data'!A148="",'Session Training Data'!AF148=""),0,IF(COUNTIFS('Sessions'!$A$5:$A$204,'Session Training Data'!A148,'Sessions'!$B$5:$B$204,'Session Training Data'!AF148)=0,1,0))</x:f>
        <x:v>0</x:v>
      </x:c>
      <x:c r="O152" s="112" t="n">
        <x:f>IF('Session Training Data'!AF148="",0,IF(COUNTIFS('Participants'!$A$5:$A$204,'Session Training Data'!AF148,'Participants'!$D$5:$D$204,"yes")=0,1,0))</x:f>
        <x:v>0</x:v>
      </x:c>
      <x:c r="P152" s="112" t="n">
        <x:f>IF('Session Training Data'!AF148="",0,IF(COUNTIF('Session Training Data'!$AF$5:AF148,'Session Training Data'!AF148)=1,1,0))</x:f>
        <x:v>0</x:v>
      </x:c>
      <x:c r="Q152" s="112" t="n">
        <x:f>IF('Participants'!A148="",0,IF(COUNTIF('Participants'!$A$5:$A$204,'Participants'!A148)&gt;1,1,0))</x:f>
        <x:v>0</x:v>
      </x:c>
      <x:c r="R152" s="112" t="n">
        <x:f>IF('Sessions'!A148="",0,IF(COUNTIF('Sessions'!$A$5:$A$204,'Sessions'!A148)&gt;1,1,0))</x:f>
        <x:v>0</x:v>
      </x:c>
      <x:c r="S152" s="112" t="n">
        <x:f>IF('Attempts'!A148="",0,IF(COUNTIF('Attempts'!$A$5:$A$204,'Attempts'!A148)&gt;1,1,0))</x:f>
        <x:v>0</x:v>
      </x:c>
      <x:c r="T152" s="112" t="n">
        <x:f>IF('Session Training Data'!A148="",0,IF(COUNTIF('Session Training Data'!$A$5:$A$204,'Session Training Data'!A148)&gt;1,1,0))</x:f>
        <x:v>0</x:v>
      </x:c>
    </x:row>
    <x:row r="153">
      <x:c r="G153" s="112" t="n">
        <x:f>IF('Sessions'!B149="",0,IF(COUNTIF('Participants'!$A$5:$A$204,'Sessions'!B149)=0,1,0))</x:f>
        <x:v>0</x:v>
      </x:c>
      <x:c r="H153" s="112" t="n">
        <x:f>IF('Attempts'!B149="",0,IF(COUNTIF('Sessions'!$A$5:$A$204,'Attempts'!B149)=0,1,0))</x:f>
        <x:v>0</x:v>
      </x:c>
      <x:c r="I153" s="112" t="n">
        <x:f>IF('Sessions'!A149="",0,IF(COUNTIF('Expert Labels'!$B$5:$B$204,'Sessions'!A149)=0,1,0))</x:f>
        <x:v>0</x:v>
      </x:c>
      <x:c r="J153" s="112" t="n">
        <x:f>IF('Expert Labels'!B149="",0,IF(COUNTIF('Expert Labels'!$B$5:$B$204,'Expert Labels'!B149)&gt;1,1,0))</x:f>
        <x:v>0</x:v>
      </x:c>
      <x:c r="K153" s="112" t="n">
        <x:f>IF('Expert Labels'!B149="",0,IF(COUNTIF('Sessions'!$A$5:$A$204,'Expert Labels'!B149)=0,1,0))</x:f>
        <x:v>0</x:v>
      </x:c>
      <x:c r="L153" s="112" t="n">
        <x:f>IF('Session Training Data'!A149="",0,IF(COUNTIF('Sessions'!$A$5:$A$204,'Session Training Data'!A149)=0,1,0))</x:f>
        <x:v>0</x:v>
      </x:c>
      <x:c r="M153" s="112" t="n">
        <x:f>IF('Session Training Data'!AF149="",0,IF(COUNTIF('Participants'!$A$5:$A$204,'Session Training Data'!AF149)=0,1,0))</x:f>
        <x:v>0</x:v>
      </x:c>
      <x:c r="N153" s="112" t="n">
        <x:f>IF(OR('Session Training Data'!A149="",'Session Training Data'!AF149=""),0,IF(COUNTIFS('Sessions'!$A$5:$A$204,'Session Training Data'!A149,'Sessions'!$B$5:$B$204,'Session Training Data'!AF149)=0,1,0))</x:f>
        <x:v>0</x:v>
      </x:c>
      <x:c r="O153" s="112" t="n">
        <x:f>IF('Session Training Data'!AF149="",0,IF(COUNTIFS('Participants'!$A$5:$A$204,'Session Training Data'!AF149,'Participants'!$D$5:$D$204,"yes")=0,1,0))</x:f>
        <x:v>0</x:v>
      </x:c>
      <x:c r="P153" s="112" t="n">
        <x:f>IF('Session Training Data'!AF149="",0,IF(COUNTIF('Session Training Data'!$AF$5:AF149,'Session Training Data'!AF149)=1,1,0))</x:f>
        <x:v>0</x:v>
      </x:c>
      <x:c r="Q153" s="112" t="n">
        <x:f>IF('Participants'!A149="",0,IF(COUNTIF('Participants'!$A$5:$A$204,'Participants'!A149)&gt;1,1,0))</x:f>
        <x:v>0</x:v>
      </x:c>
      <x:c r="R153" s="112" t="n">
        <x:f>IF('Sessions'!A149="",0,IF(COUNTIF('Sessions'!$A$5:$A$204,'Sessions'!A149)&gt;1,1,0))</x:f>
        <x:v>0</x:v>
      </x:c>
      <x:c r="S153" s="112" t="n">
        <x:f>IF('Attempts'!A149="",0,IF(COUNTIF('Attempts'!$A$5:$A$204,'Attempts'!A149)&gt;1,1,0))</x:f>
        <x:v>0</x:v>
      </x:c>
      <x:c r="T153" s="112" t="n">
        <x:f>IF('Session Training Data'!A149="",0,IF(COUNTIF('Session Training Data'!$A$5:$A$204,'Session Training Data'!A149)&gt;1,1,0))</x:f>
        <x:v>0</x:v>
      </x:c>
    </x:row>
    <x:row r="154">
      <x:c r="G154" s="112" t="n">
        <x:f>IF('Sessions'!B150="",0,IF(COUNTIF('Participants'!$A$5:$A$204,'Sessions'!B150)=0,1,0))</x:f>
        <x:v>0</x:v>
      </x:c>
      <x:c r="H154" s="112" t="n">
        <x:f>IF('Attempts'!B150="",0,IF(COUNTIF('Sessions'!$A$5:$A$204,'Attempts'!B150)=0,1,0))</x:f>
        <x:v>0</x:v>
      </x:c>
      <x:c r="I154" s="112" t="n">
        <x:f>IF('Sessions'!A150="",0,IF(COUNTIF('Expert Labels'!$B$5:$B$204,'Sessions'!A150)=0,1,0))</x:f>
        <x:v>0</x:v>
      </x:c>
      <x:c r="J154" s="112" t="n">
        <x:f>IF('Expert Labels'!B150="",0,IF(COUNTIF('Expert Labels'!$B$5:$B$204,'Expert Labels'!B150)&gt;1,1,0))</x:f>
        <x:v>0</x:v>
      </x:c>
      <x:c r="K154" s="112" t="n">
        <x:f>IF('Expert Labels'!B150="",0,IF(COUNTIF('Sessions'!$A$5:$A$204,'Expert Labels'!B150)=0,1,0))</x:f>
        <x:v>0</x:v>
      </x:c>
      <x:c r="L154" s="112" t="n">
        <x:f>IF('Session Training Data'!A150="",0,IF(COUNTIF('Sessions'!$A$5:$A$204,'Session Training Data'!A150)=0,1,0))</x:f>
        <x:v>0</x:v>
      </x:c>
      <x:c r="M154" s="112" t="n">
        <x:f>IF('Session Training Data'!AF150="",0,IF(COUNTIF('Participants'!$A$5:$A$204,'Session Training Data'!AF150)=0,1,0))</x:f>
        <x:v>0</x:v>
      </x:c>
      <x:c r="N154" s="112" t="n">
        <x:f>IF(OR('Session Training Data'!A150="",'Session Training Data'!AF150=""),0,IF(COUNTIFS('Sessions'!$A$5:$A$204,'Session Training Data'!A150,'Sessions'!$B$5:$B$204,'Session Training Data'!AF150)=0,1,0))</x:f>
        <x:v>0</x:v>
      </x:c>
      <x:c r="O154" s="112" t="n">
        <x:f>IF('Session Training Data'!AF150="",0,IF(COUNTIFS('Participants'!$A$5:$A$204,'Session Training Data'!AF150,'Participants'!$D$5:$D$204,"yes")=0,1,0))</x:f>
        <x:v>0</x:v>
      </x:c>
      <x:c r="P154" s="112" t="n">
        <x:f>IF('Session Training Data'!AF150="",0,IF(COUNTIF('Session Training Data'!$AF$5:AF150,'Session Training Data'!AF150)=1,1,0))</x:f>
        <x:v>0</x:v>
      </x:c>
      <x:c r="Q154" s="112" t="n">
        <x:f>IF('Participants'!A150="",0,IF(COUNTIF('Participants'!$A$5:$A$204,'Participants'!A150)&gt;1,1,0))</x:f>
        <x:v>0</x:v>
      </x:c>
      <x:c r="R154" s="112" t="n">
        <x:f>IF('Sessions'!A150="",0,IF(COUNTIF('Sessions'!$A$5:$A$204,'Sessions'!A150)&gt;1,1,0))</x:f>
        <x:v>0</x:v>
      </x:c>
      <x:c r="S154" s="112" t="n">
        <x:f>IF('Attempts'!A150="",0,IF(COUNTIF('Attempts'!$A$5:$A$204,'Attempts'!A150)&gt;1,1,0))</x:f>
        <x:v>0</x:v>
      </x:c>
      <x:c r="T154" s="112" t="n">
        <x:f>IF('Session Training Data'!A150="",0,IF(COUNTIF('Session Training Data'!$A$5:$A$204,'Session Training Data'!A150)&gt;1,1,0))</x:f>
        <x:v>0</x:v>
      </x:c>
    </x:row>
    <x:row r="155">
      <x:c r="G155" s="112" t="n">
        <x:f>IF('Sessions'!B151="",0,IF(COUNTIF('Participants'!$A$5:$A$204,'Sessions'!B151)=0,1,0))</x:f>
        <x:v>0</x:v>
      </x:c>
      <x:c r="H155" s="112" t="n">
        <x:f>IF('Attempts'!B151="",0,IF(COUNTIF('Sessions'!$A$5:$A$204,'Attempts'!B151)=0,1,0))</x:f>
        <x:v>0</x:v>
      </x:c>
      <x:c r="I155" s="112" t="n">
        <x:f>IF('Sessions'!A151="",0,IF(COUNTIF('Expert Labels'!$B$5:$B$204,'Sessions'!A151)=0,1,0))</x:f>
        <x:v>0</x:v>
      </x:c>
      <x:c r="J155" s="112" t="n">
        <x:f>IF('Expert Labels'!B151="",0,IF(COUNTIF('Expert Labels'!$B$5:$B$204,'Expert Labels'!B151)&gt;1,1,0))</x:f>
        <x:v>0</x:v>
      </x:c>
      <x:c r="K155" s="112" t="n">
        <x:f>IF('Expert Labels'!B151="",0,IF(COUNTIF('Sessions'!$A$5:$A$204,'Expert Labels'!B151)=0,1,0))</x:f>
        <x:v>0</x:v>
      </x:c>
      <x:c r="L155" s="112" t="n">
        <x:f>IF('Session Training Data'!A151="",0,IF(COUNTIF('Sessions'!$A$5:$A$204,'Session Training Data'!A151)=0,1,0))</x:f>
        <x:v>0</x:v>
      </x:c>
      <x:c r="M155" s="112" t="n">
        <x:f>IF('Session Training Data'!AF151="",0,IF(COUNTIF('Participants'!$A$5:$A$204,'Session Training Data'!AF151)=0,1,0))</x:f>
        <x:v>0</x:v>
      </x:c>
      <x:c r="N155" s="112" t="n">
        <x:f>IF(OR('Session Training Data'!A151="",'Session Training Data'!AF151=""),0,IF(COUNTIFS('Sessions'!$A$5:$A$204,'Session Training Data'!A151,'Sessions'!$B$5:$B$204,'Session Training Data'!AF151)=0,1,0))</x:f>
        <x:v>0</x:v>
      </x:c>
      <x:c r="O155" s="112" t="n">
        <x:f>IF('Session Training Data'!AF151="",0,IF(COUNTIFS('Participants'!$A$5:$A$204,'Session Training Data'!AF151,'Participants'!$D$5:$D$204,"yes")=0,1,0))</x:f>
        <x:v>0</x:v>
      </x:c>
      <x:c r="P155" s="112" t="n">
        <x:f>IF('Session Training Data'!AF151="",0,IF(COUNTIF('Session Training Data'!$AF$5:AF151,'Session Training Data'!AF151)=1,1,0))</x:f>
        <x:v>0</x:v>
      </x:c>
      <x:c r="Q155" s="112" t="n">
        <x:f>IF('Participants'!A151="",0,IF(COUNTIF('Participants'!$A$5:$A$204,'Participants'!A151)&gt;1,1,0))</x:f>
        <x:v>0</x:v>
      </x:c>
      <x:c r="R155" s="112" t="n">
        <x:f>IF('Sessions'!A151="",0,IF(COUNTIF('Sessions'!$A$5:$A$204,'Sessions'!A151)&gt;1,1,0))</x:f>
        <x:v>0</x:v>
      </x:c>
      <x:c r="S155" s="112" t="n">
        <x:f>IF('Attempts'!A151="",0,IF(COUNTIF('Attempts'!$A$5:$A$204,'Attempts'!A151)&gt;1,1,0))</x:f>
        <x:v>0</x:v>
      </x:c>
      <x:c r="T155" s="112" t="n">
        <x:f>IF('Session Training Data'!A151="",0,IF(COUNTIF('Session Training Data'!$A$5:$A$204,'Session Training Data'!A151)&gt;1,1,0))</x:f>
        <x:v>0</x:v>
      </x:c>
    </x:row>
    <x:row r="156">
      <x:c r="G156" s="112" t="n">
        <x:f>IF('Sessions'!B152="",0,IF(COUNTIF('Participants'!$A$5:$A$204,'Sessions'!B152)=0,1,0))</x:f>
        <x:v>0</x:v>
      </x:c>
      <x:c r="H156" s="112" t="n">
        <x:f>IF('Attempts'!B152="",0,IF(COUNTIF('Sessions'!$A$5:$A$204,'Attempts'!B152)=0,1,0))</x:f>
        <x:v>0</x:v>
      </x:c>
      <x:c r="I156" s="112" t="n">
        <x:f>IF('Sessions'!A152="",0,IF(COUNTIF('Expert Labels'!$B$5:$B$204,'Sessions'!A152)=0,1,0))</x:f>
        <x:v>0</x:v>
      </x:c>
      <x:c r="J156" s="112" t="n">
        <x:f>IF('Expert Labels'!B152="",0,IF(COUNTIF('Expert Labels'!$B$5:$B$204,'Expert Labels'!B152)&gt;1,1,0))</x:f>
        <x:v>0</x:v>
      </x:c>
      <x:c r="K156" s="112" t="n">
        <x:f>IF('Expert Labels'!B152="",0,IF(COUNTIF('Sessions'!$A$5:$A$204,'Expert Labels'!B152)=0,1,0))</x:f>
        <x:v>0</x:v>
      </x:c>
      <x:c r="L156" s="112" t="n">
        <x:f>IF('Session Training Data'!A152="",0,IF(COUNTIF('Sessions'!$A$5:$A$204,'Session Training Data'!A152)=0,1,0))</x:f>
        <x:v>0</x:v>
      </x:c>
      <x:c r="M156" s="112" t="n">
        <x:f>IF('Session Training Data'!AF152="",0,IF(COUNTIF('Participants'!$A$5:$A$204,'Session Training Data'!AF152)=0,1,0))</x:f>
        <x:v>0</x:v>
      </x:c>
      <x:c r="N156" s="112" t="n">
        <x:f>IF(OR('Session Training Data'!A152="",'Session Training Data'!AF152=""),0,IF(COUNTIFS('Sessions'!$A$5:$A$204,'Session Training Data'!A152,'Sessions'!$B$5:$B$204,'Session Training Data'!AF152)=0,1,0))</x:f>
        <x:v>0</x:v>
      </x:c>
      <x:c r="O156" s="112" t="n">
        <x:f>IF('Session Training Data'!AF152="",0,IF(COUNTIFS('Participants'!$A$5:$A$204,'Session Training Data'!AF152,'Participants'!$D$5:$D$204,"yes")=0,1,0))</x:f>
        <x:v>0</x:v>
      </x:c>
      <x:c r="P156" s="112" t="n">
        <x:f>IF('Session Training Data'!AF152="",0,IF(COUNTIF('Session Training Data'!$AF$5:AF152,'Session Training Data'!AF152)=1,1,0))</x:f>
        <x:v>0</x:v>
      </x:c>
      <x:c r="Q156" s="112" t="n">
        <x:f>IF('Participants'!A152="",0,IF(COUNTIF('Participants'!$A$5:$A$204,'Participants'!A152)&gt;1,1,0))</x:f>
        <x:v>0</x:v>
      </x:c>
      <x:c r="R156" s="112" t="n">
        <x:f>IF('Sessions'!A152="",0,IF(COUNTIF('Sessions'!$A$5:$A$204,'Sessions'!A152)&gt;1,1,0))</x:f>
        <x:v>0</x:v>
      </x:c>
      <x:c r="S156" s="112" t="n">
        <x:f>IF('Attempts'!A152="",0,IF(COUNTIF('Attempts'!$A$5:$A$204,'Attempts'!A152)&gt;1,1,0))</x:f>
        <x:v>0</x:v>
      </x:c>
      <x:c r="T156" s="112" t="n">
        <x:f>IF('Session Training Data'!A152="",0,IF(COUNTIF('Session Training Data'!$A$5:$A$204,'Session Training Data'!A152)&gt;1,1,0))</x:f>
        <x:v>0</x:v>
      </x:c>
    </x:row>
    <x:row r="157">
      <x:c r="G157" s="112" t="n">
        <x:f>IF('Sessions'!B153="",0,IF(COUNTIF('Participants'!$A$5:$A$204,'Sessions'!B153)=0,1,0))</x:f>
        <x:v>0</x:v>
      </x:c>
      <x:c r="H157" s="112" t="n">
        <x:f>IF('Attempts'!B153="",0,IF(COUNTIF('Sessions'!$A$5:$A$204,'Attempts'!B153)=0,1,0))</x:f>
        <x:v>0</x:v>
      </x:c>
      <x:c r="I157" s="112" t="n">
        <x:f>IF('Sessions'!A153="",0,IF(COUNTIF('Expert Labels'!$B$5:$B$204,'Sessions'!A153)=0,1,0))</x:f>
        <x:v>0</x:v>
      </x:c>
      <x:c r="J157" s="112" t="n">
        <x:f>IF('Expert Labels'!B153="",0,IF(COUNTIF('Expert Labels'!$B$5:$B$204,'Expert Labels'!B153)&gt;1,1,0))</x:f>
        <x:v>0</x:v>
      </x:c>
      <x:c r="K157" s="112" t="n">
        <x:f>IF('Expert Labels'!B153="",0,IF(COUNTIF('Sessions'!$A$5:$A$204,'Expert Labels'!B153)=0,1,0))</x:f>
        <x:v>0</x:v>
      </x:c>
      <x:c r="L157" s="112" t="n">
        <x:f>IF('Session Training Data'!A153="",0,IF(COUNTIF('Sessions'!$A$5:$A$204,'Session Training Data'!A153)=0,1,0))</x:f>
        <x:v>0</x:v>
      </x:c>
      <x:c r="M157" s="112" t="n">
        <x:f>IF('Session Training Data'!AF153="",0,IF(COUNTIF('Participants'!$A$5:$A$204,'Session Training Data'!AF153)=0,1,0))</x:f>
        <x:v>0</x:v>
      </x:c>
      <x:c r="N157" s="112" t="n">
        <x:f>IF(OR('Session Training Data'!A153="",'Session Training Data'!AF153=""),0,IF(COUNTIFS('Sessions'!$A$5:$A$204,'Session Training Data'!A153,'Sessions'!$B$5:$B$204,'Session Training Data'!AF153)=0,1,0))</x:f>
        <x:v>0</x:v>
      </x:c>
      <x:c r="O157" s="112" t="n">
        <x:f>IF('Session Training Data'!AF153="",0,IF(COUNTIFS('Participants'!$A$5:$A$204,'Session Training Data'!AF153,'Participants'!$D$5:$D$204,"yes")=0,1,0))</x:f>
        <x:v>0</x:v>
      </x:c>
      <x:c r="P157" s="112" t="n">
        <x:f>IF('Session Training Data'!AF153="",0,IF(COUNTIF('Session Training Data'!$AF$5:AF153,'Session Training Data'!AF153)=1,1,0))</x:f>
        <x:v>0</x:v>
      </x:c>
      <x:c r="Q157" s="112" t="n">
        <x:f>IF('Participants'!A153="",0,IF(COUNTIF('Participants'!$A$5:$A$204,'Participants'!A153)&gt;1,1,0))</x:f>
        <x:v>0</x:v>
      </x:c>
      <x:c r="R157" s="112" t="n">
        <x:f>IF('Sessions'!A153="",0,IF(COUNTIF('Sessions'!$A$5:$A$204,'Sessions'!A153)&gt;1,1,0))</x:f>
        <x:v>0</x:v>
      </x:c>
      <x:c r="S157" s="112" t="n">
        <x:f>IF('Attempts'!A153="",0,IF(COUNTIF('Attempts'!$A$5:$A$204,'Attempts'!A153)&gt;1,1,0))</x:f>
        <x:v>0</x:v>
      </x:c>
      <x:c r="T157" s="112" t="n">
        <x:f>IF('Session Training Data'!A153="",0,IF(COUNTIF('Session Training Data'!$A$5:$A$204,'Session Training Data'!A153)&gt;1,1,0))</x:f>
        <x:v>0</x:v>
      </x:c>
    </x:row>
    <x:row r="158">
      <x:c r="G158" s="112" t="n">
        <x:f>IF('Sessions'!B154="",0,IF(COUNTIF('Participants'!$A$5:$A$204,'Sessions'!B154)=0,1,0))</x:f>
        <x:v>0</x:v>
      </x:c>
      <x:c r="H158" s="112" t="n">
        <x:f>IF('Attempts'!B154="",0,IF(COUNTIF('Sessions'!$A$5:$A$204,'Attempts'!B154)=0,1,0))</x:f>
        <x:v>0</x:v>
      </x:c>
      <x:c r="I158" s="112" t="n">
        <x:f>IF('Sessions'!A154="",0,IF(COUNTIF('Expert Labels'!$B$5:$B$204,'Sessions'!A154)=0,1,0))</x:f>
        <x:v>0</x:v>
      </x:c>
      <x:c r="J158" s="112" t="n">
        <x:f>IF('Expert Labels'!B154="",0,IF(COUNTIF('Expert Labels'!$B$5:$B$204,'Expert Labels'!B154)&gt;1,1,0))</x:f>
        <x:v>0</x:v>
      </x:c>
      <x:c r="K158" s="112" t="n">
        <x:f>IF('Expert Labels'!B154="",0,IF(COUNTIF('Sessions'!$A$5:$A$204,'Expert Labels'!B154)=0,1,0))</x:f>
        <x:v>0</x:v>
      </x:c>
      <x:c r="L158" s="112" t="n">
        <x:f>IF('Session Training Data'!A154="",0,IF(COUNTIF('Sessions'!$A$5:$A$204,'Session Training Data'!A154)=0,1,0))</x:f>
        <x:v>0</x:v>
      </x:c>
      <x:c r="M158" s="112" t="n">
        <x:f>IF('Session Training Data'!AF154="",0,IF(COUNTIF('Participants'!$A$5:$A$204,'Session Training Data'!AF154)=0,1,0))</x:f>
        <x:v>0</x:v>
      </x:c>
      <x:c r="N158" s="112" t="n">
        <x:f>IF(OR('Session Training Data'!A154="",'Session Training Data'!AF154=""),0,IF(COUNTIFS('Sessions'!$A$5:$A$204,'Session Training Data'!A154,'Sessions'!$B$5:$B$204,'Session Training Data'!AF154)=0,1,0))</x:f>
        <x:v>0</x:v>
      </x:c>
      <x:c r="O158" s="112" t="n">
        <x:f>IF('Session Training Data'!AF154="",0,IF(COUNTIFS('Participants'!$A$5:$A$204,'Session Training Data'!AF154,'Participants'!$D$5:$D$204,"yes")=0,1,0))</x:f>
        <x:v>0</x:v>
      </x:c>
      <x:c r="P158" s="112" t="n">
        <x:f>IF('Session Training Data'!AF154="",0,IF(COUNTIF('Session Training Data'!$AF$5:AF154,'Session Training Data'!AF154)=1,1,0))</x:f>
        <x:v>0</x:v>
      </x:c>
      <x:c r="Q158" s="112" t="n">
        <x:f>IF('Participants'!A154="",0,IF(COUNTIF('Participants'!$A$5:$A$204,'Participants'!A154)&gt;1,1,0))</x:f>
        <x:v>0</x:v>
      </x:c>
      <x:c r="R158" s="112" t="n">
        <x:f>IF('Sessions'!A154="",0,IF(COUNTIF('Sessions'!$A$5:$A$204,'Sessions'!A154)&gt;1,1,0))</x:f>
        <x:v>0</x:v>
      </x:c>
      <x:c r="S158" s="112" t="n">
        <x:f>IF('Attempts'!A154="",0,IF(COUNTIF('Attempts'!$A$5:$A$204,'Attempts'!A154)&gt;1,1,0))</x:f>
        <x:v>0</x:v>
      </x:c>
      <x:c r="T158" s="112" t="n">
        <x:f>IF('Session Training Data'!A154="",0,IF(COUNTIF('Session Training Data'!$A$5:$A$204,'Session Training Data'!A154)&gt;1,1,0))</x:f>
        <x:v>0</x:v>
      </x:c>
    </x:row>
    <x:row r="159">
      <x:c r="G159" s="112" t="n">
        <x:f>IF('Sessions'!B155="",0,IF(COUNTIF('Participants'!$A$5:$A$204,'Sessions'!B155)=0,1,0))</x:f>
        <x:v>0</x:v>
      </x:c>
      <x:c r="H159" s="112" t="n">
        <x:f>IF('Attempts'!B155="",0,IF(COUNTIF('Sessions'!$A$5:$A$204,'Attempts'!B155)=0,1,0))</x:f>
        <x:v>0</x:v>
      </x:c>
      <x:c r="I159" s="112" t="n">
        <x:f>IF('Sessions'!A155="",0,IF(COUNTIF('Expert Labels'!$B$5:$B$204,'Sessions'!A155)=0,1,0))</x:f>
        <x:v>0</x:v>
      </x:c>
      <x:c r="J159" s="112" t="n">
        <x:f>IF('Expert Labels'!B155="",0,IF(COUNTIF('Expert Labels'!$B$5:$B$204,'Expert Labels'!B155)&gt;1,1,0))</x:f>
        <x:v>0</x:v>
      </x:c>
      <x:c r="K159" s="112" t="n">
        <x:f>IF('Expert Labels'!B155="",0,IF(COUNTIF('Sessions'!$A$5:$A$204,'Expert Labels'!B155)=0,1,0))</x:f>
        <x:v>0</x:v>
      </x:c>
      <x:c r="L159" s="112" t="n">
        <x:f>IF('Session Training Data'!A155="",0,IF(COUNTIF('Sessions'!$A$5:$A$204,'Session Training Data'!A155)=0,1,0))</x:f>
        <x:v>0</x:v>
      </x:c>
      <x:c r="M159" s="112" t="n">
        <x:f>IF('Session Training Data'!AF155="",0,IF(COUNTIF('Participants'!$A$5:$A$204,'Session Training Data'!AF155)=0,1,0))</x:f>
        <x:v>0</x:v>
      </x:c>
      <x:c r="N159" s="112" t="n">
        <x:f>IF(OR('Session Training Data'!A155="",'Session Training Data'!AF155=""),0,IF(COUNTIFS('Sessions'!$A$5:$A$204,'Session Training Data'!A155,'Sessions'!$B$5:$B$204,'Session Training Data'!AF155)=0,1,0))</x:f>
        <x:v>0</x:v>
      </x:c>
      <x:c r="O159" s="112" t="n">
        <x:f>IF('Session Training Data'!AF155="",0,IF(COUNTIFS('Participants'!$A$5:$A$204,'Session Training Data'!AF155,'Participants'!$D$5:$D$204,"yes")=0,1,0))</x:f>
        <x:v>0</x:v>
      </x:c>
      <x:c r="P159" s="112" t="n">
        <x:f>IF('Session Training Data'!AF155="",0,IF(COUNTIF('Session Training Data'!$AF$5:AF155,'Session Training Data'!AF155)=1,1,0))</x:f>
        <x:v>0</x:v>
      </x:c>
      <x:c r="Q159" s="112" t="n">
        <x:f>IF('Participants'!A155="",0,IF(COUNTIF('Participants'!$A$5:$A$204,'Participants'!A155)&gt;1,1,0))</x:f>
        <x:v>0</x:v>
      </x:c>
      <x:c r="R159" s="112" t="n">
        <x:f>IF('Sessions'!A155="",0,IF(COUNTIF('Sessions'!$A$5:$A$204,'Sessions'!A155)&gt;1,1,0))</x:f>
        <x:v>0</x:v>
      </x:c>
      <x:c r="S159" s="112" t="n">
        <x:f>IF('Attempts'!A155="",0,IF(COUNTIF('Attempts'!$A$5:$A$204,'Attempts'!A155)&gt;1,1,0))</x:f>
        <x:v>0</x:v>
      </x:c>
      <x:c r="T159" s="112" t="n">
        <x:f>IF('Session Training Data'!A155="",0,IF(COUNTIF('Session Training Data'!$A$5:$A$204,'Session Training Data'!A155)&gt;1,1,0))</x:f>
        <x:v>0</x:v>
      </x:c>
    </x:row>
    <x:row r="160">
      <x:c r="G160" s="112" t="n">
        <x:f>IF('Sessions'!B156="",0,IF(COUNTIF('Participants'!$A$5:$A$204,'Sessions'!B156)=0,1,0))</x:f>
        <x:v>0</x:v>
      </x:c>
      <x:c r="H160" s="112" t="n">
        <x:f>IF('Attempts'!B156="",0,IF(COUNTIF('Sessions'!$A$5:$A$204,'Attempts'!B156)=0,1,0))</x:f>
        <x:v>0</x:v>
      </x:c>
      <x:c r="I160" s="112" t="n">
        <x:f>IF('Sessions'!A156="",0,IF(COUNTIF('Expert Labels'!$B$5:$B$204,'Sessions'!A156)=0,1,0))</x:f>
        <x:v>0</x:v>
      </x:c>
      <x:c r="J160" s="112" t="n">
        <x:f>IF('Expert Labels'!B156="",0,IF(COUNTIF('Expert Labels'!$B$5:$B$204,'Expert Labels'!B156)&gt;1,1,0))</x:f>
        <x:v>0</x:v>
      </x:c>
      <x:c r="K160" s="112" t="n">
        <x:f>IF('Expert Labels'!B156="",0,IF(COUNTIF('Sessions'!$A$5:$A$204,'Expert Labels'!B156)=0,1,0))</x:f>
        <x:v>0</x:v>
      </x:c>
      <x:c r="L160" s="112" t="n">
        <x:f>IF('Session Training Data'!A156="",0,IF(COUNTIF('Sessions'!$A$5:$A$204,'Session Training Data'!A156)=0,1,0))</x:f>
        <x:v>0</x:v>
      </x:c>
      <x:c r="M160" s="112" t="n">
        <x:f>IF('Session Training Data'!AF156="",0,IF(COUNTIF('Participants'!$A$5:$A$204,'Session Training Data'!AF156)=0,1,0))</x:f>
        <x:v>0</x:v>
      </x:c>
      <x:c r="N160" s="112" t="n">
        <x:f>IF(OR('Session Training Data'!A156="",'Session Training Data'!AF156=""),0,IF(COUNTIFS('Sessions'!$A$5:$A$204,'Session Training Data'!A156,'Sessions'!$B$5:$B$204,'Session Training Data'!AF156)=0,1,0))</x:f>
        <x:v>0</x:v>
      </x:c>
      <x:c r="O160" s="112" t="n">
        <x:f>IF('Session Training Data'!AF156="",0,IF(COUNTIFS('Participants'!$A$5:$A$204,'Session Training Data'!AF156,'Participants'!$D$5:$D$204,"yes")=0,1,0))</x:f>
        <x:v>0</x:v>
      </x:c>
      <x:c r="P160" s="112" t="n">
        <x:f>IF('Session Training Data'!AF156="",0,IF(COUNTIF('Session Training Data'!$AF$5:AF156,'Session Training Data'!AF156)=1,1,0))</x:f>
        <x:v>0</x:v>
      </x:c>
      <x:c r="Q160" s="112" t="n">
        <x:f>IF('Participants'!A156="",0,IF(COUNTIF('Participants'!$A$5:$A$204,'Participants'!A156)&gt;1,1,0))</x:f>
        <x:v>0</x:v>
      </x:c>
      <x:c r="R160" s="112" t="n">
        <x:f>IF('Sessions'!A156="",0,IF(COUNTIF('Sessions'!$A$5:$A$204,'Sessions'!A156)&gt;1,1,0))</x:f>
        <x:v>0</x:v>
      </x:c>
      <x:c r="S160" s="112" t="n">
        <x:f>IF('Attempts'!A156="",0,IF(COUNTIF('Attempts'!$A$5:$A$204,'Attempts'!A156)&gt;1,1,0))</x:f>
        <x:v>0</x:v>
      </x:c>
      <x:c r="T160" s="112" t="n">
        <x:f>IF('Session Training Data'!A156="",0,IF(COUNTIF('Session Training Data'!$A$5:$A$204,'Session Training Data'!A156)&gt;1,1,0))</x:f>
        <x:v>0</x:v>
      </x:c>
    </x:row>
    <x:row r="161">
      <x:c r="G161" s="112" t="n">
        <x:f>IF('Sessions'!B157="",0,IF(COUNTIF('Participants'!$A$5:$A$204,'Sessions'!B157)=0,1,0))</x:f>
        <x:v>0</x:v>
      </x:c>
      <x:c r="H161" s="112" t="n">
        <x:f>IF('Attempts'!B157="",0,IF(COUNTIF('Sessions'!$A$5:$A$204,'Attempts'!B157)=0,1,0))</x:f>
        <x:v>0</x:v>
      </x:c>
      <x:c r="I161" s="112" t="n">
        <x:f>IF('Sessions'!A157="",0,IF(COUNTIF('Expert Labels'!$B$5:$B$204,'Sessions'!A157)=0,1,0))</x:f>
        <x:v>0</x:v>
      </x:c>
      <x:c r="J161" s="112" t="n">
        <x:f>IF('Expert Labels'!B157="",0,IF(COUNTIF('Expert Labels'!$B$5:$B$204,'Expert Labels'!B157)&gt;1,1,0))</x:f>
        <x:v>0</x:v>
      </x:c>
      <x:c r="K161" s="112" t="n">
        <x:f>IF('Expert Labels'!B157="",0,IF(COUNTIF('Sessions'!$A$5:$A$204,'Expert Labels'!B157)=0,1,0))</x:f>
        <x:v>0</x:v>
      </x:c>
      <x:c r="L161" s="112" t="n">
        <x:f>IF('Session Training Data'!A157="",0,IF(COUNTIF('Sessions'!$A$5:$A$204,'Session Training Data'!A157)=0,1,0))</x:f>
        <x:v>0</x:v>
      </x:c>
      <x:c r="M161" s="112" t="n">
        <x:f>IF('Session Training Data'!AF157="",0,IF(COUNTIF('Participants'!$A$5:$A$204,'Session Training Data'!AF157)=0,1,0))</x:f>
        <x:v>0</x:v>
      </x:c>
      <x:c r="N161" s="112" t="n">
        <x:f>IF(OR('Session Training Data'!A157="",'Session Training Data'!AF157=""),0,IF(COUNTIFS('Sessions'!$A$5:$A$204,'Session Training Data'!A157,'Sessions'!$B$5:$B$204,'Session Training Data'!AF157)=0,1,0))</x:f>
        <x:v>0</x:v>
      </x:c>
      <x:c r="O161" s="112" t="n">
        <x:f>IF('Session Training Data'!AF157="",0,IF(COUNTIFS('Participants'!$A$5:$A$204,'Session Training Data'!AF157,'Participants'!$D$5:$D$204,"yes")=0,1,0))</x:f>
        <x:v>0</x:v>
      </x:c>
      <x:c r="P161" s="112" t="n">
        <x:f>IF('Session Training Data'!AF157="",0,IF(COUNTIF('Session Training Data'!$AF$5:AF157,'Session Training Data'!AF157)=1,1,0))</x:f>
        <x:v>0</x:v>
      </x:c>
      <x:c r="Q161" s="112" t="n">
        <x:f>IF('Participants'!A157="",0,IF(COUNTIF('Participants'!$A$5:$A$204,'Participants'!A157)&gt;1,1,0))</x:f>
        <x:v>0</x:v>
      </x:c>
      <x:c r="R161" s="112" t="n">
        <x:f>IF('Sessions'!A157="",0,IF(COUNTIF('Sessions'!$A$5:$A$204,'Sessions'!A157)&gt;1,1,0))</x:f>
        <x:v>0</x:v>
      </x:c>
      <x:c r="S161" s="112" t="n">
        <x:f>IF('Attempts'!A157="",0,IF(COUNTIF('Attempts'!$A$5:$A$204,'Attempts'!A157)&gt;1,1,0))</x:f>
        <x:v>0</x:v>
      </x:c>
      <x:c r="T161" s="112" t="n">
        <x:f>IF('Session Training Data'!A157="",0,IF(COUNTIF('Session Training Data'!$A$5:$A$204,'Session Training Data'!A157)&gt;1,1,0))</x:f>
        <x:v>0</x:v>
      </x:c>
    </x:row>
    <x:row r="162">
      <x:c r="G162" s="112" t="n">
        <x:f>IF('Sessions'!B158="",0,IF(COUNTIF('Participants'!$A$5:$A$204,'Sessions'!B158)=0,1,0))</x:f>
        <x:v>0</x:v>
      </x:c>
      <x:c r="H162" s="112" t="n">
        <x:f>IF('Attempts'!B158="",0,IF(COUNTIF('Sessions'!$A$5:$A$204,'Attempts'!B158)=0,1,0))</x:f>
        <x:v>0</x:v>
      </x:c>
      <x:c r="I162" s="112" t="n">
        <x:f>IF('Sessions'!A158="",0,IF(COUNTIF('Expert Labels'!$B$5:$B$204,'Sessions'!A158)=0,1,0))</x:f>
        <x:v>0</x:v>
      </x:c>
      <x:c r="J162" s="112" t="n">
        <x:f>IF('Expert Labels'!B158="",0,IF(COUNTIF('Expert Labels'!$B$5:$B$204,'Expert Labels'!B158)&gt;1,1,0))</x:f>
        <x:v>0</x:v>
      </x:c>
      <x:c r="K162" s="112" t="n">
        <x:f>IF('Expert Labels'!B158="",0,IF(COUNTIF('Sessions'!$A$5:$A$204,'Expert Labels'!B158)=0,1,0))</x:f>
        <x:v>0</x:v>
      </x:c>
      <x:c r="L162" s="112" t="n">
        <x:f>IF('Session Training Data'!A158="",0,IF(COUNTIF('Sessions'!$A$5:$A$204,'Session Training Data'!A158)=0,1,0))</x:f>
        <x:v>0</x:v>
      </x:c>
      <x:c r="M162" s="112" t="n">
        <x:f>IF('Session Training Data'!AF158="",0,IF(COUNTIF('Participants'!$A$5:$A$204,'Session Training Data'!AF158)=0,1,0))</x:f>
        <x:v>0</x:v>
      </x:c>
      <x:c r="N162" s="112" t="n">
        <x:f>IF(OR('Session Training Data'!A158="",'Session Training Data'!AF158=""),0,IF(COUNTIFS('Sessions'!$A$5:$A$204,'Session Training Data'!A158,'Sessions'!$B$5:$B$204,'Session Training Data'!AF158)=0,1,0))</x:f>
        <x:v>0</x:v>
      </x:c>
      <x:c r="O162" s="112" t="n">
        <x:f>IF('Session Training Data'!AF158="",0,IF(COUNTIFS('Participants'!$A$5:$A$204,'Session Training Data'!AF158,'Participants'!$D$5:$D$204,"yes")=0,1,0))</x:f>
        <x:v>0</x:v>
      </x:c>
      <x:c r="P162" s="112" t="n">
        <x:f>IF('Session Training Data'!AF158="",0,IF(COUNTIF('Session Training Data'!$AF$5:AF158,'Session Training Data'!AF158)=1,1,0))</x:f>
        <x:v>0</x:v>
      </x:c>
      <x:c r="Q162" s="112" t="n">
        <x:f>IF('Participants'!A158="",0,IF(COUNTIF('Participants'!$A$5:$A$204,'Participants'!A158)&gt;1,1,0))</x:f>
        <x:v>0</x:v>
      </x:c>
      <x:c r="R162" s="112" t="n">
        <x:f>IF('Sessions'!A158="",0,IF(COUNTIF('Sessions'!$A$5:$A$204,'Sessions'!A158)&gt;1,1,0))</x:f>
        <x:v>0</x:v>
      </x:c>
      <x:c r="S162" s="112" t="n">
        <x:f>IF('Attempts'!A158="",0,IF(COUNTIF('Attempts'!$A$5:$A$204,'Attempts'!A158)&gt;1,1,0))</x:f>
        <x:v>0</x:v>
      </x:c>
      <x:c r="T162" s="112" t="n">
        <x:f>IF('Session Training Data'!A158="",0,IF(COUNTIF('Session Training Data'!$A$5:$A$204,'Session Training Data'!A158)&gt;1,1,0))</x:f>
        <x:v>0</x:v>
      </x:c>
    </x:row>
    <x:row r="163">
      <x:c r="G163" s="112" t="n">
        <x:f>IF('Sessions'!B159="",0,IF(COUNTIF('Participants'!$A$5:$A$204,'Sessions'!B159)=0,1,0))</x:f>
        <x:v>0</x:v>
      </x:c>
      <x:c r="H163" s="112" t="n">
        <x:f>IF('Attempts'!B159="",0,IF(COUNTIF('Sessions'!$A$5:$A$204,'Attempts'!B159)=0,1,0))</x:f>
        <x:v>0</x:v>
      </x:c>
      <x:c r="I163" s="112" t="n">
        <x:f>IF('Sessions'!A159="",0,IF(COUNTIF('Expert Labels'!$B$5:$B$204,'Sessions'!A159)=0,1,0))</x:f>
        <x:v>0</x:v>
      </x:c>
      <x:c r="J163" s="112" t="n">
        <x:f>IF('Expert Labels'!B159="",0,IF(COUNTIF('Expert Labels'!$B$5:$B$204,'Expert Labels'!B159)&gt;1,1,0))</x:f>
        <x:v>0</x:v>
      </x:c>
      <x:c r="K163" s="112" t="n">
        <x:f>IF('Expert Labels'!B159="",0,IF(COUNTIF('Sessions'!$A$5:$A$204,'Expert Labels'!B159)=0,1,0))</x:f>
        <x:v>0</x:v>
      </x:c>
      <x:c r="L163" s="112" t="n">
        <x:f>IF('Session Training Data'!A159="",0,IF(COUNTIF('Sessions'!$A$5:$A$204,'Session Training Data'!A159)=0,1,0))</x:f>
        <x:v>0</x:v>
      </x:c>
      <x:c r="M163" s="112" t="n">
        <x:f>IF('Session Training Data'!AF159="",0,IF(COUNTIF('Participants'!$A$5:$A$204,'Session Training Data'!AF159)=0,1,0))</x:f>
        <x:v>0</x:v>
      </x:c>
      <x:c r="N163" s="112" t="n">
        <x:f>IF(OR('Session Training Data'!A159="",'Session Training Data'!AF159=""),0,IF(COUNTIFS('Sessions'!$A$5:$A$204,'Session Training Data'!A159,'Sessions'!$B$5:$B$204,'Session Training Data'!AF159)=0,1,0))</x:f>
        <x:v>0</x:v>
      </x:c>
      <x:c r="O163" s="112" t="n">
        <x:f>IF('Session Training Data'!AF159="",0,IF(COUNTIFS('Participants'!$A$5:$A$204,'Session Training Data'!AF159,'Participants'!$D$5:$D$204,"yes")=0,1,0))</x:f>
        <x:v>0</x:v>
      </x:c>
      <x:c r="P163" s="112" t="n">
        <x:f>IF('Session Training Data'!AF159="",0,IF(COUNTIF('Session Training Data'!$AF$5:AF159,'Session Training Data'!AF159)=1,1,0))</x:f>
        <x:v>0</x:v>
      </x:c>
      <x:c r="Q163" s="112" t="n">
        <x:f>IF('Participants'!A159="",0,IF(COUNTIF('Participants'!$A$5:$A$204,'Participants'!A159)&gt;1,1,0))</x:f>
        <x:v>0</x:v>
      </x:c>
      <x:c r="R163" s="112" t="n">
        <x:f>IF('Sessions'!A159="",0,IF(COUNTIF('Sessions'!$A$5:$A$204,'Sessions'!A159)&gt;1,1,0))</x:f>
        <x:v>0</x:v>
      </x:c>
      <x:c r="S163" s="112" t="n">
        <x:f>IF('Attempts'!A159="",0,IF(COUNTIF('Attempts'!$A$5:$A$204,'Attempts'!A159)&gt;1,1,0))</x:f>
        <x:v>0</x:v>
      </x:c>
      <x:c r="T163" s="112" t="n">
        <x:f>IF('Session Training Data'!A159="",0,IF(COUNTIF('Session Training Data'!$A$5:$A$204,'Session Training Data'!A159)&gt;1,1,0))</x:f>
        <x:v>0</x:v>
      </x:c>
    </x:row>
    <x:row r="164">
      <x:c r="G164" s="112" t="n">
        <x:f>IF('Sessions'!B160="",0,IF(COUNTIF('Participants'!$A$5:$A$204,'Sessions'!B160)=0,1,0))</x:f>
        <x:v>0</x:v>
      </x:c>
      <x:c r="H164" s="112" t="n">
        <x:f>IF('Attempts'!B160="",0,IF(COUNTIF('Sessions'!$A$5:$A$204,'Attempts'!B160)=0,1,0))</x:f>
        <x:v>0</x:v>
      </x:c>
      <x:c r="I164" s="112" t="n">
        <x:f>IF('Sessions'!A160="",0,IF(COUNTIF('Expert Labels'!$B$5:$B$204,'Sessions'!A160)=0,1,0))</x:f>
        <x:v>0</x:v>
      </x:c>
      <x:c r="J164" s="112" t="n">
        <x:f>IF('Expert Labels'!B160="",0,IF(COUNTIF('Expert Labels'!$B$5:$B$204,'Expert Labels'!B160)&gt;1,1,0))</x:f>
        <x:v>0</x:v>
      </x:c>
      <x:c r="K164" s="112" t="n">
        <x:f>IF('Expert Labels'!B160="",0,IF(COUNTIF('Sessions'!$A$5:$A$204,'Expert Labels'!B160)=0,1,0))</x:f>
        <x:v>0</x:v>
      </x:c>
      <x:c r="L164" s="112" t="n">
        <x:f>IF('Session Training Data'!A160="",0,IF(COUNTIF('Sessions'!$A$5:$A$204,'Session Training Data'!A160)=0,1,0))</x:f>
        <x:v>0</x:v>
      </x:c>
      <x:c r="M164" s="112" t="n">
        <x:f>IF('Session Training Data'!AF160="",0,IF(COUNTIF('Participants'!$A$5:$A$204,'Session Training Data'!AF160)=0,1,0))</x:f>
        <x:v>0</x:v>
      </x:c>
      <x:c r="N164" s="112" t="n">
        <x:f>IF(OR('Session Training Data'!A160="",'Session Training Data'!AF160=""),0,IF(COUNTIFS('Sessions'!$A$5:$A$204,'Session Training Data'!A160,'Sessions'!$B$5:$B$204,'Session Training Data'!AF160)=0,1,0))</x:f>
        <x:v>0</x:v>
      </x:c>
      <x:c r="O164" s="112" t="n">
        <x:f>IF('Session Training Data'!AF160="",0,IF(COUNTIFS('Participants'!$A$5:$A$204,'Session Training Data'!AF160,'Participants'!$D$5:$D$204,"yes")=0,1,0))</x:f>
        <x:v>0</x:v>
      </x:c>
      <x:c r="P164" s="112" t="n">
        <x:f>IF('Session Training Data'!AF160="",0,IF(COUNTIF('Session Training Data'!$AF$5:AF160,'Session Training Data'!AF160)=1,1,0))</x:f>
        <x:v>0</x:v>
      </x:c>
      <x:c r="Q164" s="112" t="n">
        <x:f>IF('Participants'!A160="",0,IF(COUNTIF('Participants'!$A$5:$A$204,'Participants'!A160)&gt;1,1,0))</x:f>
        <x:v>0</x:v>
      </x:c>
      <x:c r="R164" s="112" t="n">
        <x:f>IF('Sessions'!A160="",0,IF(COUNTIF('Sessions'!$A$5:$A$204,'Sessions'!A160)&gt;1,1,0))</x:f>
        <x:v>0</x:v>
      </x:c>
      <x:c r="S164" s="112" t="n">
        <x:f>IF('Attempts'!A160="",0,IF(COUNTIF('Attempts'!$A$5:$A$204,'Attempts'!A160)&gt;1,1,0))</x:f>
        <x:v>0</x:v>
      </x:c>
      <x:c r="T164" s="112" t="n">
        <x:f>IF('Session Training Data'!A160="",0,IF(COUNTIF('Session Training Data'!$A$5:$A$204,'Session Training Data'!A160)&gt;1,1,0))</x:f>
        <x:v>0</x:v>
      </x:c>
    </x:row>
    <x:row r="165">
      <x:c r="G165" s="112" t="n">
        <x:f>IF('Sessions'!B161="",0,IF(COUNTIF('Participants'!$A$5:$A$204,'Sessions'!B161)=0,1,0))</x:f>
        <x:v>0</x:v>
      </x:c>
      <x:c r="H165" s="112" t="n">
        <x:f>IF('Attempts'!B161="",0,IF(COUNTIF('Sessions'!$A$5:$A$204,'Attempts'!B161)=0,1,0))</x:f>
        <x:v>0</x:v>
      </x:c>
      <x:c r="I165" s="112" t="n">
        <x:f>IF('Sessions'!A161="",0,IF(COUNTIF('Expert Labels'!$B$5:$B$204,'Sessions'!A161)=0,1,0))</x:f>
        <x:v>0</x:v>
      </x:c>
      <x:c r="J165" s="112" t="n">
        <x:f>IF('Expert Labels'!B161="",0,IF(COUNTIF('Expert Labels'!$B$5:$B$204,'Expert Labels'!B161)&gt;1,1,0))</x:f>
        <x:v>0</x:v>
      </x:c>
      <x:c r="K165" s="112" t="n">
        <x:f>IF('Expert Labels'!B161="",0,IF(COUNTIF('Sessions'!$A$5:$A$204,'Expert Labels'!B161)=0,1,0))</x:f>
        <x:v>0</x:v>
      </x:c>
      <x:c r="L165" s="112" t="n">
        <x:f>IF('Session Training Data'!A161="",0,IF(COUNTIF('Sessions'!$A$5:$A$204,'Session Training Data'!A161)=0,1,0))</x:f>
        <x:v>0</x:v>
      </x:c>
      <x:c r="M165" s="112" t="n">
        <x:f>IF('Session Training Data'!AF161="",0,IF(COUNTIF('Participants'!$A$5:$A$204,'Session Training Data'!AF161)=0,1,0))</x:f>
        <x:v>0</x:v>
      </x:c>
      <x:c r="N165" s="112" t="n">
        <x:f>IF(OR('Session Training Data'!A161="",'Session Training Data'!AF161=""),0,IF(COUNTIFS('Sessions'!$A$5:$A$204,'Session Training Data'!A161,'Sessions'!$B$5:$B$204,'Session Training Data'!AF161)=0,1,0))</x:f>
        <x:v>0</x:v>
      </x:c>
      <x:c r="O165" s="112" t="n">
        <x:f>IF('Session Training Data'!AF161="",0,IF(COUNTIFS('Participants'!$A$5:$A$204,'Session Training Data'!AF161,'Participants'!$D$5:$D$204,"yes")=0,1,0))</x:f>
        <x:v>0</x:v>
      </x:c>
      <x:c r="P165" s="112" t="n">
        <x:f>IF('Session Training Data'!AF161="",0,IF(COUNTIF('Session Training Data'!$AF$5:AF161,'Session Training Data'!AF161)=1,1,0))</x:f>
        <x:v>0</x:v>
      </x:c>
      <x:c r="Q165" s="112" t="n">
        <x:f>IF('Participants'!A161="",0,IF(COUNTIF('Participants'!$A$5:$A$204,'Participants'!A161)&gt;1,1,0))</x:f>
        <x:v>0</x:v>
      </x:c>
      <x:c r="R165" s="112" t="n">
        <x:f>IF('Sessions'!A161="",0,IF(COUNTIF('Sessions'!$A$5:$A$204,'Sessions'!A161)&gt;1,1,0))</x:f>
        <x:v>0</x:v>
      </x:c>
      <x:c r="S165" s="112" t="n">
        <x:f>IF('Attempts'!A161="",0,IF(COUNTIF('Attempts'!$A$5:$A$204,'Attempts'!A161)&gt;1,1,0))</x:f>
        <x:v>0</x:v>
      </x:c>
      <x:c r="T165" s="112" t="n">
        <x:f>IF('Session Training Data'!A161="",0,IF(COUNTIF('Session Training Data'!$A$5:$A$204,'Session Training Data'!A161)&gt;1,1,0))</x:f>
        <x:v>0</x:v>
      </x:c>
    </x:row>
    <x:row r="166">
      <x:c r="G166" s="112" t="n">
        <x:f>IF('Sessions'!B162="",0,IF(COUNTIF('Participants'!$A$5:$A$204,'Sessions'!B162)=0,1,0))</x:f>
        <x:v>0</x:v>
      </x:c>
      <x:c r="H166" s="112" t="n">
        <x:f>IF('Attempts'!B162="",0,IF(COUNTIF('Sessions'!$A$5:$A$204,'Attempts'!B162)=0,1,0))</x:f>
        <x:v>0</x:v>
      </x:c>
      <x:c r="I166" s="112" t="n">
        <x:f>IF('Sessions'!A162="",0,IF(COUNTIF('Expert Labels'!$B$5:$B$204,'Sessions'!A162)=0,1,0))</x:f>
        <x:v>0</x:v>
      </x:c>
      <x:c r="J166" s="112" t="n">
        <x:f>IF('Expert Labels'!B162="",0,IF(COUNTIF('Expert Labels'!$B$5:$B$204,'Expert Labels'!B162)&gt;1,1,0))</x:f>
        <x:v>0</x:v>
      </x:c>
      <x:c r="K166" s="112" t="n">
        <x:f>IF('Expert Labels'!B162="",0,IF(COUNTIF('Sessions'!$A$5:$A$204,'Expert Labels'!B162)=0,1,0))</x:f>
        <x:v>0</x:v>
      </x:c>
      <x:c r="L166" s="112" t="n">
        <x:f>IF('Session Training Data'!A162="",0,IF(COUNTIF('Sessions'!$A$5:$A$204,'Session Training Data'!A162)=0,1,0))</x:f>
        <x:v>0</x:v>
      </x:c>
      <x:c r="M166" s="112" t="n">
        <x:f>IF('Session Training Data'!AF162="",0,IF(COUNTIF('Participants'!$A$5:$A$204,'Session Training Data'!AF162)=0,1,0))</x:f>
        <x:v>0</x:v>
      </x:c>
      <x:c r="N166" s="112" t="n">
        <x:f>IF(OR('Session Training Data'!A162="",'Session Training Data'!AF162=""),0,IF(COUNTIFS('Sessions'!$A$5:$A$204,'Session Training Data'!A162,'Sessions'!$B$5:$B$204,'Session Training Data'!AF162)=0,1,0))</x:f>
        <x:v>0</x:v>
      </x:c>
      <x:c r="O166" s="112" t="n">
        <x:f>IF('Session Training Data'!AF162="",0,IF(COUNTIFS('Participants'!$A$5:$A$204,'Session Training Data'!AF162,'Participants'!$D$5:$D$204,"yes")=0,1,0))</x:f>
        <x:v>0</x:v>
      </x:c>
      <x:c r="P166" s="112" t="n">
        <x:f>IF('Session Training Data'!AF162="",0,IF(COUNTIF('Session Training Data'!$AF$5:AF162,'Session Training Data'!AF162)=1,1,0))</x:f>
        <x:v>0</x:v>
      </x:c>
      <x:c r="Q166" s="112" t="n">
        <x:f>IF('Participants'!A162="",0,IF(COUNTIF('Participants'!$A$5:$A$204,'Participants'!A162)&gt;1,1,0))</x:f>
        <x:v>0</x:v>
      </x:c>
      <x:c r="R166" s="112" t="n">
        <x:f>IF('Sessions'!A162="",0,IF(COUNTIF('Sessions'!$A$5:$A$204,'Sessions'!A162)&gt;1,1,0))</x:f>
        <x:v>0</x:v>
      </x:c>
      <x:c r="S166" s="112" t="n">
        <x:f>IF('Attempts'!A162="",0,IF(COUNTIF('Attempts'!$A$5:$A$204,'Attempts'!A162)&gt;1,1,0))</x:f>
        <x:v>0</x:v>
      </x:c>
      <x:c r="T166" s="112" t="n">
        <x:f>IF('Session Training Data'!A162="",0,IF(COUNTIF('Session Training Data'!$A$5:$A$204,'Session Training Data'!A162)&gt;1,1,0))</x:f>
        <x:v>0</x:v>
      </x:c>
    </x:row>
    <x:row r="167">
      <x:c r="G167" s="112" t="n">
        <x:f>IF('Sessions'!B163="",0,IF(COUNTIF('Participants'!$A$5:$A$204,'Sessions'!B163)=0,1,0))</x:f>
        <x:v>0</x:v>
      </x:c>
      <x:c r="H167" s="112" t="n">
        <x:f>IF('Attempts'!B163="",0,IF(COUNTIF('Sessions'!$A$5:$A$204,'Attempts'!B163)=0,1,0))</x:f>
        <x:v>0</x:v>
      </x:c>
      <x:c r="I167" s="112" t="n">
        <x:f>IF('Sessions'!A163="",0,IF(COUNTIF('Expert Labels'!$B$5:$B$204,'Sessions'!A163)=0,1,0))</x:f>
        <x:v>0</x:v>
      </x:c>
      <x:c r="J167" s="112" t="n">
        <x:f>IF('Expert Labels'!B163="",0,IF(COUNTIF('Expert Labels'!$B$5:$B$204,'Expert Labels'!B163)&gt;1,1,0))</x:f>
        <x:v>0</x:v>
      </x:c>
      <x:c r="K167" s="112" t="n">
        <x:f>IF('Expert Labels'!B163="",0,IF(COUNTIF('Sessions'!$A$5:$A$204,'Expert Labels'!B163)=0,1,0))</x:f>
        <x:v>0</x:v>
      </x:c>
      <x:c r="L167" s="112" t="n">
        <x:f>IF('Session Training Data'!A163="",0,IF(COUNTIF('Sessions'!$A$5:$A$204,'Session Training Data'!A163)=0,1,0))</x:f>
        <x:v>0</x:v>
      </x:c>
      <x:c r="M167" s="112" t="n">
        <x:f>IF('Session Training Data'!AF163="",0,IF(COUNTIF('Participants'!$A$5:$A$204,'Session Training Data'!AF163)=0,1,0))</x:f>
        <x:v>0</x:v>
      </x:c>
      <x:c r="N167" s="112" t="n">
        <x:f>IF(OR('Session Training Data'!A163="",'Session Training Data'!AF163=""),0,IF(COUNTIFS('Sessions'!$A$5:$A$204,'Session Training Data'!A163,'Sessions'!$B$5:$B$204,'Session Training Data'!AF163)=0,1,0))</x:f>
        <x:v>0</x:v>
      </x:c>
      <x:c r="O167" s="112" t="n">
        <x:f>IF('Session Training Data'!AF163="",0,IF(COUNTIFS('Participants'!$A$5:$A$204,'Session Training Data'!AF163,'Participants'!$D$5:$D$204,"yes")=0,1,0))</x:f>
        <x:v>0</x:v>
      </x:c>
      <x:c r="P167" s="112" t="n">
        <x:f>IF('Session Training Data'!AF163="",0,IF(COUNTIF('Session Training Data'!$AF$5:AF163,'Session Training Data'!AF163)=1,1,0))</x:f>
        <x:v>0</x:v>
      </x:c>
      <x:c r="Q167" s="112" t="n">
        <x:f>IF('Participants'!A163="",0,IF(COUNTIF('Participants'!$A$5:$A$204,'Participants'!A163)&gt;1,1,0))</x:f>
        <x:v>0</x:v>
      </x:c>
      <x:c r="R167" s="112" t="n">
        <x:f>IF('Sessions'!A163="",0,IF(COUNTIF('Sessions'!$A$5:$A$204,'Sessions'!A163)&gt;1,1,0))</x:f>
        <x:v>0</x:v>
      </x:c>
      <x:c r="S167" s="112" t="n">
        <x:f>IF('Attempts'!A163="",0,IF(COUNTIF('Attempts'!$A$5:$A$204,'Attempts'!A163)&gt;1,1,0))</x:f>
        <x:v>0</x:v>
      </x:c>
      <x:c r="T167" s="112" t="n">
        <x:f>IF('Session Training Data'!A163="",0,IF(COUNTIF('Session Training Data'!$A$5:$A$204,'Session Training Data'!A163)&gt;1,1,0))</x:f>
        <x:v>0</x:v>
      </x:c>
    </x:row>
    <x:row r="168">
      <x:c r="G168" s="112" t="n">
        <x:f>IF('Sessions'!B164="",0,IF(COUNTIF('Participants'!$A$5:$A$204,'Sessions'!B164)=0,1,0))</x:f>
        <x:v>0</x:v>
      </x:c>
      <x:c r="H168" s="112" t="n">
        <x:f>IF('Attempts'!B164="",0,IF(COUNTIF('Sessions'!$A$5:$A$204,'Attempts'!B164)=0,1,0))</x:f>
        <x:v>0</x:v>
      </x:c>
      <x:c r="I168" s="112" t="n">
        <x:f>IF('Sessions'!A164="",0,IF(COUNTIF('Expert Labels'!$B$5:$B$204,'Sessions'!A164)=0,1,0))</x:f>
        <x:v>0</x:v>
      </x:c>
      <x:c r="J168" s="112" t="n">
        <x:f>IF('Expert Labels'!B164="",0,IF(COUNTIF('Expert Labels'!$B$5:$B$204,'Expert Labels'!B164)&gt;1,1,0))</x:f>
        <x:v>0</x:v>
      </x:c>
      <x:c r="K168" s="112" t="n">
        <x:f>IF('Expert Labels'!B164="",0,IF(COUNTIF('Sessions'!$A$5:$A$204,'Expert Labels'!B164)=0,1,0))</x:f>
        <x:v>0</x:v>
      </x:c>
      <x:c r="L168" s="112" t="n">
        <x:f>IF('Session Training Data'!A164="",0,IF(COUNTIF('Sessions'!$A$5:$A$204,'Session Training Data'!A164)=0,1,0))</x:f>
        <x:v>0</x:v>
      </x:c>
      <x:c r="M168" s="112" t="n">
        <x:f>IF('Session Training Data'!AF164="",0,IF(COUNTIF('Participants'!$A$5:$A$204,'Session Training Data'!AF164)=0,1,0))</x:f>
        <x:v>0</x:v>
      </x:c>
      <x:c r="N168" s="112" t="n">
        <x:f>IF(OR('Session Training Data'!A164="",'Session Training Data'!AF164=""),0,IF(COUNTIFS('Sessions'!$A$5:$A$204,'Session Training Data'!A164,'Sessions'!$B$5:$B$204,'Session Training Data'!AF164)=0,1,0))</x:f>
        <x:v>0</x:v>
      </x:c>
      <x:c r="O168" s="112" t="n">
        <x:f>IF('Session Training Data'!AF164="",0,IF(COUNTIFS('Participants'!$A$5:$A$204,'Session Training Data'!AF164,'Participants'!$D$5:$D$204,"yes")=0,1,0))</x:f>
        <x:v>0</x:v>
      </x:c>
      <x:c r="P168" s="112" t="n">
        <x:f>IF('Session Training Data'!AF164="",0,IF(COUNTIF('Session Training Data'!$AF$5:AF164,'Session Training Data'!AF164)=1,1,0))</x:f>
        <x:v>0</x:v>
      </x:c>
      <x:c r="Q168" s="112" t="n">
        <x:f>IF('Participants'!A164="",0,IF(COUNTIF('Participants'!$A$5:$A$204,'Participants'!A164)&gt;1,1,0))</x:f>
        <x:v>0</x:v>
      </x:c>
      <x:c r="R168" s="112" t="n">
        <x:f>IF('Sessions'!A164="",0,IF(COUNTIF('Sessions'!$A$5:$A$204,'Sessions'!A164)&gt;1,1,0))</x:f>
        <x:v>0</x:v>
      </x:c>
      <x:c r="S168" s="112" t="n">
        <x:f>IF('Attempts'!A164="",0,IF(COUNTIF('Attempts'!$A$5:$A$204,'Attempts'!A164)&gt;1,1,0))</x:f>
        <x:v>0</x:v>
      </x:c>
      <x:c r="T168" s="112" t="n">
        <x:f>IF('Session Training Data'!A164="",0,IF(COUNTIF('Session Training Data'!$A$5:$A$204,'Session Training Data'!A164)&gt;1,1,0))</x:f>
        <x:v>0</x:v>
      </x:c>
    </x:row>
    <x:row r="169">
      <x:c r="G169" s="112" t="n">
        <x:f>IF('Sessions'!B165="",0,IF(COUNTIF('Participants'!$A$5:$A$204,'Sessions'!B165)=0,1,0))</x:f>
        <x:v>0</x:v>
      </x:c>
      <x:c r="H169" s="112" t="n">
        <x:f>IF('Attempts'!B165="",0,IF(COUNTIF('Sessions'!$A$5:$A$204,'Attempts'!B165)=0,1,0))</x:f>
        <x:v>0</x:v>
      </x:c>
      <x:c r="I169" s="112" t="n">
        <x:f>IF('Sessions'!A165="",0,IF(COUNTIF('Expert Labels'!$B$5:$B$204,'Sessions'!A165)=0,1,0))</x:f>
        <x:v>0</x:v>
      </x:c>
      <x:c r="J169" s="112" t="n">
        <x:f>IF('Expert Labels'!B165="",0,IF(COUNTIF('Expert Labels'!$B$5:$B$204,'Expert Labels'!B165)&gt;1,1,0))</x:f>
        <x:v>0</x:v>
      </x:c>
      <x:c r="K169" s="112" t="n">
        <x:f>IF('Expert Labels'!B165="",0,IF(COUNTIF('Sessions'!$A$5:$A$204,'Expert Labels'!B165)=0,1,0))</x:f>
        <x:v>0</x:v>
      </x:c>
      <x:c r="L169" s="112" t="n">
        <x:f>IF('Session Training Data'!A165="",0,IF(COUNTIF('Sessions'!$A$5:$A$204,'Session Training Data'!A165)=0,1,0))</x:f>
        <x:v>0</x:v>
      </x:c>
      <x:c r="M169" s="112" t="n">
        <x:f>IF('Session Training Data'!AF165="",0,IF(COUNTIF('Participants'!$A$5:$A$204,'Session Training Data'!AF165)=0,1,0))</x:f>
        <x:v>0</x:v>
      </x:c>
      <x:c r="N169" s="112" t="n">
        <x:f>IF(OR('Session Training Data'!A165="",'Session Training Data'!AF165=""),0,IF(COUNTIFS('Sessions'!$A$5:$A$204,'Session Training Data'!A165,'Sessions'!$B$5:$B$204,'Session Training Data'!AF165)=0,1,0))</x:f>
        <x:v>0</x:v>
      </x:c>
      <x:c r="O169" s="112" t="n">
        <x:f>IF('Session Training Data'!AF165="",0,IF(COUNTIFS('Participants'!$A$5:$A$204,'Session Training Data'!AF165,'Participants'!$D$5:$D$204,"yes")=0,1,0))</x:f>
        <x:v>0</x:v>
      </x:c>
      <x:c r="P169" s="112" t="n">
        <x:f>IF('Session Training Data'!AF165="",0,IF(COUNTIF('Session Training Data'!$AF$5:AF165,'Session Training Data'!AF165)=1,1,0))</x:f>
        <x:v>0</x:v>
      </x:c>
      <x:c r="Q169" s="112" t="n">
        <x:f>IF('Participants'!A165="",0,IF(COUNTIF('Participants'!$A$5:$A$204,'Participants'!A165)&gt;1,1,0))</x:f>
        <x:v>0</x:v>
      </x:c>
      <x:c r="R169" s="112" t="n">
        <x:f>IF('Sessions'!A165="",0,IF(COUNTIF('Sessions'!$A$5:$A$204,'Sessions'!A165)&gt;1,1,0))</x:f>
        <x:v>0</x:v>
      </x:c>
      <x:c r="S169" s="112" t="n">
        <x:f>IF('Attempts'!A165="",0,IF(COUNTIF('Attempts'!$A$5:$A$204,'Attempts'!A165)&gt;1,1,0))</x:f>
        <x:v>0</x:v>
      </x:c>
      <x:c r="T169" s="112" t="n">
        <x:f>IF('Session Training Data'!A165="",0,IF(COUNTIF('Session Training Data'!$A$5:$A$204,'Session Training Data'!A165)&gt;1,1,0))</x:f>
        <x:v>0</x:v>
      </x:c>
    </x:row>
    <x:row r="170">
      <x:c r="G170" s="112" t="n">
        <x:f>IF('Sessions'!B166="",0,IF(COUNTIF('Participants'!$A$5:$A$204,'Sessions'!B166)=0,1,0))</x:f>
        <x:v>0</x:v>
      </x:c>
      <x:c r="H170" s="112" t="n">
        <x:f>IF('Attempts'!B166="",0,IF(COUNTIF('Sessions'!$A$5:$A$204,'Attempts'!B166)=0,1,0))</x:f>
        <x:v>0</x:v>
      </x:c>
      <x:c r="I170" s="112" t="n">
        <x:f>IF('Sessions'!A166="",0,IF(COUNTIF('Expert Labels'!$B$5:$B$204,'Sessions'!A166)=0,1,0))</x:f>
        <x:v>0</x:v>
      </x:c>
      <x:c r="J170" s="112" t="n">
        <x:f>IF('Expert Labels'!B166="",0,IF(COUNTIF('Expert Labels'!$B$5:$B$204,'Expert Labels'!B166)&gt;1,1,0))</x:f>
        <x:v>0</x:v>
      </x:c>
      <x:c r="K170" s="112" t="n">
        <x:f>IF('Expert Labels'!B166="",0,IF(COUNTIF('Sessions'!$A$5:$A$204,'Expert Labels'!B166)=0,1,0))</x:f>
        <x:v>0</x:v>
      </x:c>
      <x:c r="L170" s="112" t="n">
        <x:f>IF('Session Training Data'!A166="",0,IF(COUNTIF('Sessions'!$A$5:$A$204,'Session Training Data'!A166)=0,1,0))</x:f>
        <x:v>0</x:v>
      </x:c>
      <x:c r="M170" s="112" t="n">
        <x:f>IF('Session Training Data'!AF166="",0,IF(COUNTIF('Participants'!$A$5:$A$204,'Session Training Data'!AF166)=0,1,0))</x:f>
        <x:v>0</x:v>
      </x:c>
      <x:c r="N170" s="112" t="n">
        <x:f>IF(OR('Session Training Data'!A166="",'Session Training Data'!AF166=""),0,IF(COUNTIFS('Sessions'!$A$5:$A$204,'Session Training Data'!A166,'Sessions'!$B$5:$B$204,'Session Training Data'!AF166)=0,1,0))</x:f>
        <x:v>0</x:v>
      </x:c>
      <x:c r="O170" s="112" t="n">
        <x:f>IF('Session Training Data'!AF166="",0,IF(COUNTIFS('Participants'!$A$5:$A$204,'Session Training Data'!AF166,'Participants'!$D$5:$D$204,"yes")=0,1,0))</x:f>
        <x:v>0</x:v>
      </x:c>
      <x:c r="P170" s="112" t="n">
        <x:f>IF('Session Training Data'!AF166="",0,IF(COUNTIF('Session Training Data'!$AF$5:AF166,'Session Training Data'!AF166)=1,1,0))</x:f>
        <x:v>0</x:v>
      </x:c>
      <x:c r="Q170" s="112" t="n">
        <x:f>IF('Participants'!A166="",0,IF(COUNTIF('Participants'!$A$5:$A$204,'Participants'!A166)&gt;1,1,0))</x:f>
        <x:v>0</x:v>
      </x:c>
      <x:c r="R170" s="112" t="n">
        <x:f>IF('Sessions'!A166="",0,IF(COUNTIF('Sessions'!$A$5:$A$204,'Sessions'!A166)&gt;1,1,0))</x:f>
        <x:v>0</x:v>
      </x:c>
      <x:c r="S170" s="112" t="n">
        <x:f>IF('Attempts'!A166="",0,IF(COUNTIF('Attempts'!$A$5:$A$204,'Attempts'!A166)&gt;1,1,0))</x:f>
        <x:v>0</x:v>
      </x:c>
      <x:c r="T170" s="112" t="n">
        <x:f>IF('Session Training Data'!A166="",0,IF(COUNTIF('Session Training Data'!$A$5:$A$204,'Session Training Data'!A166)&gt;1,1,0))</x:f>
        <x:v>0</x:v>
      </x:c>
    </x:row>
    <x:row r="171">
      <x:c r="G171" s="112" t="n">
        <x:f>IF('Sessions'!B167="",0,IF(COUNTIF('Participants'!$A$5:$A$204,'Sessions'!B167)=0,1,0))</x:f>
        <x:v>0</x:v>
      </x:c>
      <x:c r="H171" s="112" t="n">
        <x:f>IF('Attempts'!B167="",0,IF(COUNTIF('Sessions'!$A$5:$A$204,'Attempts'!B167)=0,1,0))</x:f>
        <x:v>0</x:v>
      </x:c>
      <x:c r="I171" s="112" t="n">
        <x:f>IF('Sessions'!A167="",0,IF(COUNTIF('Expert Labels'!$B$5:$B$204,'Sessions'!A167)=0,1,0))</x:f>
        <x:v>0</x:v>
      </x:c>
      <x:c r="J171" s="112" t="n">
        <x:f>IF('Expert Labels'!B167="",0,IF(COUNTIF('Expert Labels'!$B$5:$B$204,'Expert Labels'!B167)&gt;1,1,0))</x:f>
        <x:v>0</x:v>
      </x:c>
      <x:c r="K171" s="112" t="n">
        <x:f>IF('Expert Labels'!B167="",0,IF(COUNTIF('Sessions'!$A$5:$A$204,'Expert Labels'!B167)=0,1,0))</x:f>
        <x:v>0</x:v>
      </x:c>
      <x:c r="L171" s="112" t="n">
        <x:f>IF('Session Training Data'!A167="",0,IF(COUNTIF('Sessions'!$A$5:$A$204,'Session Training Data'!A167)=0,1,0))</x:f>
        <x:v>0</x:v>
      </x:c>
      <x:c r="M171" s="112" t="n">
        <x:f>IF('Session Training Data'!AF167="",0,IF(COUNTIF('Participants'!$A$5:$A$204,'Session Training Data'!AF167)=0,1,0))</x:f>
        <x:v>0</x:v>
      </x:c>
      <x:c r="N171" s="112" t="n">
        <x:f>IF(OR('Session Training Data'!A167="",'Session Training Data'!AF167=""),0,IF(COUNTIFS('Sessions'!$A$5:$A$204,'Session Training Data'!A167,'Sessions'!$B$5:$B$204,'Session Training Data'!AF167)=0,1,0))</x:f>
        <x:v>0</x:v>
      </x:c>
      <x:c r="O171" s="112" t="n">
        <x:f>IF('Session Training Data'!AF167="",0,IF(COUNTIFS('Participants'!$A$5:$A$204,'Session Training Data'!AF167,'Participants'!$D$5:$D$204,"yes")=0,1,0))</x:f>
        <x:v>0</x:v>
      </x:c>
      <x:c r="P171" s="112" t="n">
        <x:f>IF('Session Training Data'!AF167="",0,IF(COUNTIF('Session Training Data'!$AF$5:AF167,'Session Training Data'!AF167)=1,1,0))</x:f>
        <x:v>0</x:v>
      </x:c>
      <x:c r="Q171" s="112" t="n">
        <x:f>IF('Participants'!A167="",0,IF(COUNTIF('Participants'!$A$5:$A$204,'Participants'!A167)&gt;1,1,0))</x:f>
        <x:v>0</x:v>
      </x:c>
      <x:c r="R171" s="112" t="n">
        <x:f>IF('Sessions'!A167="",0,IF(COUNTIF('Sessions'!$A$5:$A$204,'Sessions'!A167)&gt;1,1,0))</x:f>
        <x:v>0</x:v>
      </x:c>
      <x:c r="S171" s="112" t="n">
        <x:f>IF('Attempts'!A167="",0,IF(COUNTIF('Attempts'!$A$5:$A$204,'Attempts'!A167)&gt;1,1,0))</x:f>
        <x:v>0</x:v>
      </x:c>
      <x:c r="T171" s="112" t="n">
        <x:f>IF('Session Training Data'!A167="",0,IF(COUNTIF('Session Training Data'!$A$5:$A$204,'Session Training Data'!A167)&gt;1,1,0))</x:f>
        <x:v>0</x:v>
      </x:c>
    </x:row>
    <x:row r="172">
      <x:c r="G172" s="112" t="n">
        <x:f>IF('Sessions'!B168="",0,IF(COUNTIF('Participants'!$A$5:$A$204,'Sessions'!B168)=0,1,0))</x:f>
        <x:v>0</x:v>
      </x:c>
      <x:c r="H172" s="112" t="n">
        <x:f>IF('Attempts'!B168="",0,IF(COUNTIF('Sessions'!$A$5:$A$204,'Attempts'!B168)=0,1,0))</x:f>
        <x:v>0</x:v>
      </x:c>
      <x:c r="I172" s="112" t="n">
        <x:f>IF('Sessions'!A168="",0,IF(COUNTIF('Expert Labels'!$B$5:$B$204,'Sessions'!A168)=0,1,0))</x:f>
        <x:v>0</x:v>
      </x:c>
      <x:c r="J172" s="112" t="n">
        <x:f>IF('Expert Labels'!B168="",0,IF(COUNTIF('Expert Labels'!$B$5:$B$204,'Expert Labels'!B168)&gt;1,1,0))</x:f>
        <x:v>0</x:v>
      </x:c>
      <x:c r="K172" s="112" t="n">
        <x:f>IF('Expert Labels'!B168="",0,IF(COUNTIF('Sessions'!$A$5:$A$204,'Expert Labels'!B168)=0,1,0))</x:f>
        <x:v>0</x:v>
      </x:c>
      <x:c r="L172" s="112" t="n">
        <x:f>IF('Session Training Data'!A168="",0,IF(COUNTIF('Sessions'!$A$5:$A$204,'Session Training Data'!A168)=0,1,0))</x:f>
        <x:v>0</x:v>
      </x:c>
      <x:c r="M172" s="112" t="n">
        <x:f>IF('Session Training Data'!AF168="",0,IF(COUNTIF('Participants'!$A$5:$A$204,'Session Training Data'!AF168)=0,1,0))</x:f>
        <x:v>0</x:v>
      </x:c>
      <x:c r="N172" s="112" t="n">
        <x:f>IF(OR('Session Training Data'!A168="",'Session Training Data'!AF168=""),0,IF(COUNTIFS('Sessions'!$A$5:$A$204,'Session Training Data'!A168,'Sessions'!$B$5:$B$204,'Session Training Data'!AF168)=0,1,0))</x:f>
        <x:v>0</x:v>
      </x:c>
      <x:c r="O172" s="112" t="n">
        <x:f>IF('Session Training Data'!AF168="",0,IF(COUNTIFS('Participants'!$A$5:$A$204,'Session Training Data'!AF168,'Participants'!$D$5:$D$204,"yes")=0,1,0))</x:f>
        <x:v>0</x:v>
      </x:c>
      <x:c r="P172" s="112" t="n">
        <x:f>IF('Session Training Data'!AF168="",0,IF(COUNTIF('Session Training Data'!$AF$5:AF168,'Session Training Data'!AF168)=1,1,0))</x:f>
        <x:v>0</x:v>
      </x:c>
      <x:c r="Q172" s="112" t="n">
        <x:f>IF('Participants'!A168="",0,IF(COUNTIF('Participants'!$A$5:$A$204,'Participants'!A168)&gt;1,1,0))</x:f>
        <x:v>0</x:v>
      </x:c>
      <x:c r="R172" s="112" t="n">
        <x:f>IF('Sessions'!A168="",0,IF(COUNTIF('Sessions'!$A$5:$A$204,'Sessions'!A168)&gt;1,1,0))</x:f>
        <x:v>0</x:v>
      </x:c>
      <x:c r="S172" s="112" t="n">
        <x:f>IF('Attempts'!A168="",0,IF(COUNTIF('Attempts'!$A$5:$A$204,'Attempts'!A168)&gt;1,1,0))</x:f>
        <x:v>0</x:v>
      </x:c>
      <x:c r="T172" s="112" t="n">
        <x:f>IF('Session Training Data'!A168="",0,IF(COUNTIF('Session Training Data'!$A$5:$A$204,'Session Training Data'!A168)&gt;1,1,0))</x:f>
        <x:v>0</x:v>
      </x:c>
    </x:row>
    <x:row r="173">
      <x:c r="G173" s="112" t="n">
        <x:f>IF('Sessions'!B169="",0,IF(COUNTIF('Participants'!$A$5:$A$204,'Sessions'!B169)=0,1,0))</x:f>
        <x:v>0</x:v>
      </x:c>
      <x:c r="H173" s="112" t="n">
        <x:f>IF('Attempts'!B169="",0,IF(COUNTIF('Sessions'!$A$5:$A$204,'Attempts'!B169)=0,1,0))</x:f>
        <x:v>0</x:v>
      </x:c>
      <x:c r="I173" s="112" t="n">
        <x:f>IF('Sessions'!A169="",0,IF(COUNTIF('Expert Labels'!$B$5:$B$204,'Sessions'!A169)=0,1,0))</x:f>
        <x:v>0</x:v>
      </x:c>
      <x:c r="J173" s="112" t="n">
        <x:f>IF('Expert Labels'!B169="",0,IF(COUNTIF('Expert Labels'!$B$5:$B$204,'Expert Labels'!B169)&gt;1,1,0))</x:f>
        <x:v>0</x:v>
      </x:c>
      <x:c r="K173" s="112" t="n">
        <x:f>IF('Expert Labels'!B169="",0,IF(COUNTIF('Sessions'!$A$5:$A$204,'Expert Labels'!B169)=0,1,0))</x:f>
        <x:v>0</x:v>
      </x:c>
      <x:c r="L173" s="112" t="n">
        <x:f>IF('Session Training Data'!A169="",0,IF(COUNTIF('Sessions'!$A$5:$A$204,'Session Training Data'!A169)=0,1,0))</x:f>
        <x:v>0</x:v>
      </x:c>
      <x:c r="M173" s="112" t="n">
        <x:f>IF('Session Training Data'!AF169="",0,IF(COUNTIF('Participants'!$A$5:$A$204,'Session Training Data'!AF169)=0,1,0))</x:f>
        <x:v>0</x:v>
      </x:c>
      <x:c r="N173" s="112" t="n">
        <x:f>IF(OR('Session Training Data'!A169="",'Session Training Data'!AF169=""),0,IF(COUNTIFS('Sessions'!$A$5:$A$204,'Session Training Data'!A169,'Sessions'!$B$5:$B$204,'Session Training Data'!AF169)=0,1,0))</x:f>
        <x:v>0</x:v>
      </x:c>
      <x:c r="O173" s="112" t="n">
        <x:f>IF('Session Training Data'!AF169="",0,IF(COUNTIFS('Participants'!$A$5:$A$204,'Session Training Data'!AF169,'Participants'!$D$5:$D$204,"yes")=0,1,0))</x:f>
        <x:v>0</x:v>
      </x:c>
      <x:c r="P173" s="112" t="n">
        <x:f>IF('Session Training Data'!AF169="",0,IF(COUNTIF('Session Training Data'!$AF$5:AF169,'Session Training Data'!AF169)=1,1,0))</x:f>
        <x:v>0</x:v>
      </x:c>
      <x:c r="Q173" s="112" t="n">
        <x:f>IF('Participants'!A169="",0,IF(COUNTIF('Participants'!$A$5:$A$204,'Participants'!A169)&gt;1,1,0))</x:f>
        <x:v>0</x:v>
      </x:c>
      <x:c r="R173" s="112" t="n">
        <x:f>IF('Sessions'!A169="",0,IF(COUNTIF('Sessions'!$A$5:$A$204,'Sessions'!A169)&gt;1,1,0))</x:f>
        <x:v>0</x:v>
      </x:c>
      <x:c r="S173" s="112" t="n">
        <x:f>IF('Attempts'!A169="",0,IF(COUNTIF('Attempts'!$A$5:$A$204,'Attempts'!A169)&gt;1,1,0))</x:f>
        <x:v>0</x:v>
      </x:c>
      <x:c r="T173" s="112" t="n">
        <x:f>IF('Session Training Data'!A169="",0,IF(COUNTIF('Session Training Data'!$A$5:$A$204,'Session Training Data'!A169)&gt;1,1,0))</x:f>
        <x:v>0</x:v>
      </x:c>
    </x:row>
    <x:row r="174">
      <x:c r="G174" s="112" t="n">
        <x:f>IF('Sessions'!B170="",0,IF(COUNTIF('Participants'!$A$5:$A$204,'Sessions'!B170)=0,1,0))</x:f>
        <x:v>0</x:v>
      </x:c>
      <x:c r="H174" s="112" t="n">
        <x:f>IF('Attempts'!B170="",0,IF(COUNTIF('Sessions'!$A$5:$A$204,'Attempts'!B170)=0,1,0))</x:f>
        <x:v>0</x:v>
      </x:c>
      <x:c r="I174" s="112" t="n">
        <x:f>IF('Sessions'!A170="",0,IF(COUNTIF('Expert Labels'!$B$5:$B$204,'Sessions'!A170)=0,1,0))</x:f>
        <x:v>0</x:v>
      </x:c>
      <x:c r="J174" s="112" t="n">
        <x:f>IF('Expert Labels'!B170="",0,IF(COUNTIF('Expert Labels'!$B$5:$B$204,'Expert Labels'!B170)&gt;1,1,0))</x:f>
        <x:v>0</x:v>
      </x:c>
      <x:c r="K174" s="112" t="n">
        <x:f>IF('Expert Labels'!B170="",0,IF(COUNTIF('Sessions'!$A$5:$A$204,'Expert Labels'!B170)=0,1,0))</x:f>
        <x:v>0</x:v>
      </x:c>
      <x:c r="L174" s="112" t="n">
        <x:f>IF('Session Training Data'!A170="",0,IF(COUNTIF('Sessions'!$A$5:$A$204,'Session Training Data'!A170)=0,1,0))</x:f>
        <x:v>0</x:v>
      </x:c>
      <x:c r="M174" s="112" t="n">
        <x:f>IF('Session Training Data'!AF170="",0,IF(COUNTIF('Participants'!$A$5:$A$204,'Session Training Data'!AF170)=0,1,0))</x:f>
        <x:v>0</x:v>
      </x:c>
      <x:c r="N174" s="112" t="n">
        <x:f>IF(OR('Session Training Data'!A170="",'Session Training Data'!AF170=""),0,IF(COUNTIFS('Sessions'!$A$5:$A$204,'Session Training Data'!A170,'Sessions'!$B$5:$B$204,'Session Training Data'!AF170)=0,1,0))</x:f>
        <x:v>0</x:v>
      </x:c>
      <x:c r="O174" s="112" t="n">
        <x:f>IF('Session Training Data'!AF170="",0,IF(COUNTIFS('Participants'!$A$5:$A$204,'Session Training Data'!AF170,'Participants'!$D$5:$D$204,"yes")=0,1,0))</x:f>
        <x:v>0</x:v>
      </x:c>
      <x:c r="P174" s="112" t="n">
        <x:f>IF('Session Training Data'!AF170="",0,IF(COUNTIF('Session Training Data'!$AF$5:AF170,'Session Training Data'!AF170)=1,1,0))</x:f>
        <x:v>0</x:v>
      </x:c>
      <x:c r="Q174" s="112" t="n">
        <x:f>IF('Participants'!A170="",0,IF(COUNTIF('Participants'!$A$5:$A$204,'Participants'!A170)&gt;1,1,0))</x:f>
        <x:v>0</x:v>
      </x:c>
      <x:c r="R174" s="112" t="n">
        <x:f>IF('Sessions'!A170="",0,IF(COUNTIF('Sessions'!$A$5:$A$204,'Sessions'!A170)&gt;1,1,0))</x:f>
        <x:v>0</x:v>
      </x:c>
      <x:c r="S174" s="112" t="n">
        <x:f>IF('Attempts'!A170="",0,IF(COUNTIF('Attempts'!$A$5:$A$204,'Attempts'!A170)&gt;1,1,0))</x:f>
        <x:v>0</x:v>
      </x:c>
      <x:c r="T174" s="112" t="n">
        <x:f>IF('Session Training Data'!A170="",0,IF(COUNTIF('Session Training Data'!$A$5:$A$204,'Session Training Data'!A170)&gt;1,1,0))</x:f>
        <x:v>0</x:v>
      </x:c>
    </x:row>
    <x:row r="175">
      <x:c r="G175" s="112" t="n">
        <x:f>IF('Sessions'!B171="",0,IF(COUNTIF('Participants'!$A$5:$A$204,'Sessions'!B171)=0,1,0))</x:f>
        <x:v>0</x:v>
      </x:c>
      <x:c r="H175" s="112" t="n">
        <x:f>IF('Attempts'!B171="",0,IF(COUNTIF('Sessions'!$A$5:$A$204,'Attempts'!B171)=0,1,0))</x:f>
        <x:v>0</x:v>
      </x:c>
      <x:c r="I175" s="112" t="n">
        <x:f>IF('Sessions'!A171="",0,IF(COUNTIF('Expert Labels'!$B$5:$B$204,'Sessions'!A171)=0,1,0))</x:f>
        <x:v>0</x:v>
      </x:c>
      <x:c r="J175" s="112" t="n">
        <x:f>IF('Expert Labels'!B171="",0,IF(COUNTIF('Expert Labels'!$B$5:$B$204,'Expert Labels'!B171)&gt;1,1,0))</x:f>
        <x:v>0</x:v>
      </x:c>
      <x:c r="K175" s="112" t="n">
        <x:f>IF('Expert Labels'!B171="",0,IF(COUNTIF('Sessions'!$A$5:$A$204,'Expert Labels'!B171)=0,1,0))</x:f>
        <x:v>0</x:v>
      </x:c>
      <x:c r="L175" s="112" t="n">
        <x:f>IF('Session Training Data'!A171="",0,IF(COUNTIF('Sessions'!$A$5:$A$204,'Session Training Data'!A171)=0,1,0))</x:f>
        <x:v>0</x:v>
      </x:c>
      <x:c r="M175" s="112" t="n">
        <x:f>IF('Session Training Data'!AF171="",0,IF(COUNTIF('Participants'!$A$5:$A$204,'Session Training Data'!AF171)=0,1,0))</x:f>
        <x:v>0</x:v>
      </x:c>
      <x:c r="N175" s="112" t="n">
        <x:f>IF(OR('Session Training Data'!A171="",'Session Training Data'!AF171=""),0,IF(COUNTIFS('Sessions'!$A$5:$A$204,'Session Training Data'!A171,'Sessions'!$B$5:$B$204,'Session Training Data'!AF171)=0,1,0))</x:f>
        <x:v>0</x:v>
      </x:c>
      <x:c r="O175" s="112" t="n">
        <x:f>IF('Session Training Data'!AF171="",0,IF(COUNTIFS('Participants'!$A$5:$A$204,'Session Training Data'!AF171,'Participants'!$D$5:$D$204,"yes")=0,1,0))</x:f>
        <x:v>0</x:v>
      </x:c>
      <x:c r="P175" s="112" t="n">
        <x:f>IF('Session Training Data'!AF171="",0,IF(COUNTIF('Session Training Data'!$AF$5:AF171,'Session Training Data'!AF171)=1,1,0))</x:f>
        <x:v>0</x:v>
      </x:c>
      <x:c r="Q175" s="112" t="n">
        <x:f>IF('Participants'!A171="",0,IF(COUNTIF('Participants'!$A$5:$A$204,'Participants'!A171)&gt;1,1,0))</x:f>
        <x:v>0</x:v>
      </x:c>
      <x:c r="R175" s="112" t="n">
        <x:f>IF('Sessions'!A171="",0,IF(COUNTIF('Sessions'!$A$5:$A$204,'Sessions'!A171)&gt;1,1,0))</x:f>
        <x:v>0</x:v>
      </x:c>
      <x:c r="S175" s="112" t="n">
        <x:f>IF('Attempts'!A171="",0,IF(COUNTIF('Attempts'!$A$5:$A$204,'Attempts'!A171)&gt;1,1,0))</x:f>
        <x:v>0</x:v>
      </x:c>
      <x:c r="T175" s="112" t="n">
        <x:f>IF('Session Training Data'!A171="",0,IF(COUNTIF('Session Training Data'!$A$5:$A$204,'Session Training Data'!A171)&gt;1,1,0))</x:f>
        <x:v>0</x:v>
      </x:c>
    </x:row>
    <x:row r="176">
      <x:c r="G176" s="112" t="n">
        <x:f>IF('Sessions'!B172="",0,IF(COUNTIF('Participants'!$A$5:$A$204,'Sessions'!B172)=0,1,0))</x:f>
        <x:v>0</x:v>
      </x:c>
      <x:c r="H176" s="112" t="n">
        <x:f>IF('Attempts'!B172="",0,IF(COUNTIF('Sessions'!$A$5:$A$204,'Attempts'!B172)=0,1,0))</x:f>
        <x:v>0</x:v>
      </x:c>
      <x:c r="I176" s="112" t="n">
        <x:f>IF('Sessions'!A172="",0,IF(COUNTIF('Expert Labels'!$B$5:$B$204,'Sessions'!A172)=0,1,0))</x:f>
        <x:v>0</x:v>
      </x:c>
      <x:c r="J176" s="112" t="n">
        <x:f>IF('Expert Labels'!B172="",0,IF(COUNTIF('Expert Labels'!$B$5:$B$204,'Expert Labels'!B172)&gt;1,1,0))</x:f>
        <x:v>0</x:v>
      </x:c>
      <x:c r="K176" s="112" t="n">
        <x:f>IF('Expert Labels'!B172="",0,IF(COUNTIF('Sessions'!$A$5:$A$204,'Expert Labels'!B172)=0,1,0))</x:f>
        <x:v>0</x:v>
      </x:c>
      <x:c r="L176" s="112" t="n">
        <x:f>IF('Session Training Data'!A172="",0,IF(COUNTIF('Sessions'!$A$5:$A$204,'Session Training Data'!A172)=0,1,0))</x:f>
        <x:v>0</x:v>
      </x:c>
      <x:c r="M176" s="112" t="n">
        <x:f>IF('Session Training Data'!AF172="",0,IF(COUNTIF('Participants'!$A$5:$A$204,'Session Training Data'!AF172)=0,1,0))</x:f>
        <x:v>0</x:v>
      </x:c>
      <x:c r="N176" s="112" t="n">
        <x:f>IF(OR('Session Training Data'!A172="",'Session Training Data'!AF172=""),0,IF(COUNTIFS('Sessions'!$A$5:$A$204,'Session Training Data'!A172,'Sessions'!$B$5:$B$204,'Session Training Data'!AF172)=0,1,0))</x:f>
        <x:v>0</x:v>
      </x:c>
      <x:c r="O176" s="112" t="n">
        <x:f>IF('Session Training Data'!AF172="",0,IF(COUNTIFS('Participants'!$A$5:$A$204,'Session Training Data'!AF172,'Participants'!$D$5:$D$204,"yes")=0,1,0))</x:f>
        <x:v>0</x:v>
      </x:c>
      <x:c r="P176" s="112" t="n">
        <x:f>IF('Session Training Data'!AF172="",0,IF(COUNTIF('Session Training Data'!$AF$5:AF172,'Session Training Data'!AF172)=1,1,0))</x:f>
        <x:v>0</x:v>
      </x:c>
      <x:c r="Q176" s="112" t="n">
        <x:f>IF('Participants'!A172="",0,IF(COUNTIF('Participants'!$A$5:$A$204,'Participants'!A172)&gt;1,1,0))</x:f>
        <x:v>0</x:v>
      </x:c>
      <x:c r="R176" s="112" t="n">
        <x:f>IF('Sessions'!A172="",0,IF(COUNTIF('Sessions'!$A$5:$A$204,'Sessions'!A172)&gt;1,1,0))</x:f>
        <x:v>0</x:v>
      </x:c>
      <x:c r="S176" s="112" t="n">
        <x:f>IF('Attempts'!A172="",0,IF(COUNTIF('Attempts'!$A$5:$A$204,'Attempts'!A172)&gt;1,1,0))</x:f>
        <x:v>0</x:v>
      </x:c>
      <x:c r="T176" s="112" t="n">
        <x:f>IF('Session Training Data'!A172="",0,IF(COUNTIF('Session Training Data'!$A$5:$A$204,'Session Training Data'!A172)&gt;1,1,0))</x:f>
        <x:v>0</x:v>
      </x:c>
    </x:row>
    <x:row r="177">
      <x:c r="G177" s="112" t="n">
        <x:f>IF('Sessions'!B173="",0,IF(COUNTIF('Participants'!$A$5:$A$204,'Sessions'!B173)=0,1,0))</x:f>
        <x:v>0</x:v>
      </x:c>
      <x:c r="H177" s="112" t="n">
        <x:f>IF('Attempts'!B173="",0,IF(COUNTIF('Sessions'!$A$5:$A$204,'Attempts'!B173)=0,1,0))</x:f>
        <x:v>0</x:v>
      </x:c>
      <x:c r="I177" s="112" t="n">
        <x:f>IF('Sessions'!A173="",0,IF(COUNTIF('Expert Labels'!$B$5:$B$204,'Sessions'!A173)=0,1,0))</x:f>
        <x:v>0</x:v>
      </x:c>
      <x:c r="J177" s="112" t="n">
        <x:f>IF('Expert Labels'!B173="",0,IF(COUNTIF('Expert Labels'!$B$5:$B$204,'Expert Labels'!B173)&gt;1,1,0))</x:f>
        <x:v>0</x:v>
      </x:c>
      <x:c r="K177" s="112" t="n">
        <x:f>IF('Expert Labels'!B173="",0,IF(COUNTIF('Sessions'!$A$5:$A$204,'Expert Labels'!B173)=0,1,0))</x:f>
        <x:v>0</x:v>
      </x:c>
      <x:c r="L177" s="112" t="n">
        <x:f>IF('Session Training Data'!A173="",0,IF(COUNTIF('Sessions'!$A$5:$A$204,'Session Training Data'!A173)=0,1,0))</x:f>
        <x:v>0</x:v>
      </x:c>
      <x:c r="M177" s="112" t="n">
        <x:f>IF('Session Training Data'!AF173="",0,IF(COUNTIF('Participants'!$A$5:$A$204,'Session Training Data'!AF173)=0,1,0))</x:f>
        <x:v>0</x:v>
      </x:c>
      <x:c r="N177" s="112" t="n">
        <x:f>IF(OR('Session Training Data'!A173="",'Session Training Data'!AF173=""),0,IF(COUNTIFS('Sessions'!$A$5:$A$204,'Session Training Data'!A173,'Sessions'!$B$5:$B$204,'Session Training Data'!AF173)=0,1,0))</x:f>
        <x:v>0</x:v>
      </x:c>
      <x:c r="O177" s="112" t="n">
        <x:f>IF('Session Training Data'!AF173="",0,IF(COUNTIFS('Participants'!$A$5:$A$204,'Session Training Data'!AF173,'Participants'!$D$5:$D$204,"yes")=0,1,0))</x:f>
        <x:v>0</x:v>
      </x:c>
      <x:c r="P177" s="112" t="n">
        <x:f>IF('Session Training Data'!AF173="",0,IF(COUNTIF('Session Training Data'!$AF$5:AF173,'Session Training Data'!AF173)=1,1,0))</x:f>
        <x:v>0</x:v>
      </x:c>
      <x:c r="Q177" s="112" t="n">
        <x:f>IF('Participants'!A173="",0,IF(COUNTIF('Participants'!$A$5:$A$204,'Participants'!A173)&gt;1,1,0))</x:f>
        <x:v>0</x:v>
      </x:c>
      <x:c r="R177" s="112" t="n">
        <x:f>IF('Sessions'!A173="",0,IF(COUNTIF('Sessions'!$A$5:$A$204,'Sessions'!A173)&gt;1,1,0))</x:f>
        <x:v>0</x:v>
      </x:c>
      <x:c r="S177" s="112" t="n">
        <x:f>IF('Attempts'!A173="",0,IF(COUNTIF('Attempts'!$A$5:$A$204,'Attempts'!A173)&gt;1,1,0))</x:f>
        <x:v>0</x:v>
      </x:c>
      <x:c r="T177" s="112" t="n">
        <x:f>IF('Session Training Data'!A173="",0,IF(COUNTIF('Session Training Data'!$A$5:$A$204,'Session Training Data'!A173)&gt;1,1,0))</x:f>
        <x:v>0</x:v>
      </x:c>
    </x:row>
    <x:row r="178">
      <x:c r="G178" s="112" t="n">
        <x:f>IF('Sessions'!B174="",0,IF(COUNTIF('Participants'!$A$5:$A$204,'Sessions'!B174)=0,1,0))</x:f>
        <x:v>0</x:v>
      </x:c>
      <x:c r="H178" s="112" t="n">
        <x:f>IF('Attempts'!B174="",0,IF(COUNTIF('Sessions'!$A$5:$A$204,'Attempts'!B174)=0,1,0))</x:f>
        <x:v>0</x:v>
      </x:c>
      <x:c r="I178" s="112" t="n">
        <x:f>IF('Sessions'!A174="",0,IF(COUNTIF('Expert Labels'!$B$5:$B$204,'Sessions'!A174)=0,1,0))</x:f>
        <x:v>0</x:v>
      </x:c>
      <x:c r="J178" s="112" t="n">
        <x:f>IF('Expert Labels'!B174="",0,IF(COUNTIF('Expert Labels'!$B$5:$B$204,'Expert Labels'!B174)&gt;1,1,0))</x:f>
        <x:v>0</x:v>
      </x:c>
      <x:c r="K178" s="112" t="n">
        <x:f>IF('Expert Labels'!B174="",0,IF(COUNTIF('Sessions'!$A$5:$A$204,'Expert Labels'!B174)=0,1,0))</x:f>
        <x:v>0</x:v>
      </x:c>
      <x:c r="L178" s="112" t="n">
        <x:f>IF('Session Training Data'!A174="",0,IF(COUNTIF('Sessions'!$A$5:$A$204,'Session Training Data'!A174)=0,1,0))</x:f>
        <x:v>0</x:v>
      </x:c>
      <x:c r="M178" s="112" t="n">
        <x:f>IF('Session Training Data'!AF174="",0,IF(COUNTIF('Participants'!$A$5:$A$204,'Session Training Data'!AF174)=0,1,0))</x:f>
        <x:v>0</x:v>
      </x:c>
      <x:c r="N178" s="112" t="n">
        <x:f>IF(OR('Session Training Data'!A174="",'Session Training Data'!AF174=""),0,IF(COUNTIFS('Sessions'!$A$5:$A$204,'Session Training Data'!A174,'Sessions'!$B$5:$B$204,'Session Training Data'!AF174)=0,1,0))</x:f>
        <x:v>0</x:v>
      </x:c>
      <x:c r="O178" s="112" t="n">
        <x:f>IF('Session Training Data'!AF174="",0,IF(COUNTIFS('Participants'!$A$5:$A$204,'Session Training Data'!AF174,'Participants'!$D$5:$D$204,"yes")=0,1,0))</x:f>
        <x:v>0</x:v>
      </x:c>
      <x:c r="P178" s="112" t="n">
        <x:f>IF('Session Training Data'!AF174="",0,IF(COUNTIF('Session Training Data'!$AF$5:AF174,'Session Training Data'!AF174)=1,1,0))</x:f>
        <x:v>0</x:v>
      </x:c>
      <x:c r="Q178" s="112" t="n">
        <x:f>IF('Participants'!A174="",0,IF(COUNTIF('Participants'!$A$5:$A$204,'Participants'!A174)&gt;1,1,0))</x:f>
        <x:v>0</x:v>
      </x:c>
      <x:c r="R178" s="112" t="n">
        <x:f>IF('Sessions'!A174="",0,IF(COUNTIF('Sessions'!$A$5:$A$204,'Sessions'!A174)&gt;1,1,0))</x:f>
        <x:v>0</x:v>
      </x:c>
      <x:c r="S178" s="112" t="n">
        <x:f>IF('Attempts'!A174="",0,IF(COUNTIF('Attempts'!$A$5:$A$204,'Attempts'!A174)&gt;1,1,0))</x:f>
        <x:v>0</x:v>
      </x:c>
      <x:c r="T178" s="112" t="n">
        <x:f>IF('Session Training Data'!A174="",0,IF(COUNTIF('Session Training Data'!$A$5:$A$204,'Session Training Data'!A174)&gt;1,1,0))</x:f>
        <x:v>0</x:v>
      </x:c>
    </x:row>
    <x:row r="179">
      <x:c r="G179" s="112" t="n">
        <x:f>IF('Sessions'!B175="",0,IF(COUNTIF('Participants'!$A$5:$A$204,'Sessions'!B175)=0,1,0))</x:f>
        <x:v>0</x:v>
      </x:c>
      <x:c r="H179" s="112" t="n">
        <x:f>IF('Attempts'!B175="",0,IF(COUNTIF('Sessions'!$A$5:$A$204,'Attempts'!B175)=0,1,0))</x:f>
        <x:v>0</x:v>
      </x:c>
      <x:c r="I179" s="112" t="n">
        <x:f>IF('Sessions'!A175="",0,IF(COUNTIF('Expert Labels'!$B$5:$B$204,'Sessions'!A175)=0,1,0))</x:f>
        <x:v>0</x:v>
      </x:c>
      <x:c r="J179" s="112" t="n">
        <x:f>IF('Expert Labels'!B175="",0,IF(COUNTIF('Expert Labels'!$B$5:$B$204,'Expert Labels'!B175)&gt;1,1,0))</x:f>
        <x:v>0</x:v>
      </x:c>
      <x:c r="K179" s="112" t="n">
        <x:f>IF('Expert Labels'!B175="",0,IF(COUNTIF('Sessions'!$A$5:$A$204,'Expert Labels'!B175)=0,1,0))</x:f>
        <x:v>0</x:v>
      </x:c>
      <x:c r="L179" s="112" t="n">
        <x:f>IF('Session Training Data'!A175="",0,IF(COUNTIF('Sessions'!$A$5:$A$204,'Session Training Data'!A175)=0,1,0))</x:f>
        <x:v>0</x:v>
      </x:c>
      <x:c r="M179" s="112" t="n">
        <x:f>IF('Session Training Data'!AF175="",0,IF(COUNTIF('Participants'!$A$5:$A$204,'Session Training Data'!AF175)=0,1,0))</x:f>
        <x:v>0</x:v>
      </x:c>
      <x:c r="N179" s="112" t="n">
        <x:f>IF(OR('Session Training Data'!A175="",'Session Training Data'!AF175=""),0,IF(COUNTIFS('Sessions'!$A$5:$A$204,'Session Training Data'!A175,'Sessions'!$B$5:$B$204,'Session Training Data'!AF175)=0,1,0))</x:f>
        <x:v>0</x:v>
      </x:c>
      <x:c r="O179" s="112" t="n">
        <x:f>IF('Session Training Data'!AF175="",0,IF(COUNTIFS('Participants'!$A$5:$A$204,'Session Training Data'!AF175,'Participants'!$D$5:$D$204,"yes")=0,1,0))</x:f>
        <x:v>0</x:v>
      </x:c>
      <x:c r="P179" s="112" t="n">
        <x:f>IF('Session Training Data'!AF175="",0,IF(COUNTIF('Session Training Data'!$AF$5:AF175,'Session Training Data'!AF175)=1,1,0))</x:f>
        <x:v>0</x:v>
      </x:c>
      <x:c r="Q179" s="112" t="n">
        <x:f>IF('Participants'!A175="",0,IF(COUNTIF('Participants'!$A$5:$A$204,'Participants'!A175)&gt;1,1,0))</x:f>
        <x:v>0</x:v>
      </x:c>
      <x:c r="R179" s="112" t="n">
        <x:f>IF('Sessions'!A175="",0,IF(COUNTIF('Sessions'!$A$5:$A$204,'Sessions'!A175)&gt;1,1,0))</x:f>
        <x:v>0</x:v>
      </x:c>
      <x:c r="S179" s="112" t="n">
        <x:f>IF('Attempts'!A175="",0,IF(COUNTIF('Attempts'!$A$5:$A$204,'Attempts'!A175)&gt;1,1,0))</x:f>
        <x:v>0</x:v>
      </x:c>
      <x:c r="T179" s="112" t="n">
        <x:f>IF('Session Training Data'!A175="",0,IF(COUNTIF('Session Training Data'!$A$5:$A$204,'Session Training Data'!A175)&gt;1,1,0))</x:f>
        <x:v>0</x:v>
      </x:c>
    </x:row>
    <x:row r="180">
      <x:c r="G180" s="112" t="n">
        <x:f>IF('Sessions'!B176="",0,IF(COUNTIF('Participants'!$A$5:$A$204,'Sessions'!B176)=0,1,0))</x:f>
        <x:v>0</x:v>
      </x:c>
      <x:c r="H180" s="112" t="n">
        <x:f>IF('Attempts'!B176="",0,IF(COUNTIF('Sessions'!$A$5:$A$204,'Attempts'!B176)=0,1,0))</x:f>
        <x:v>0</x:v>
      </x:c>
      <x:c r="I180" s="112" t="n">
        <x:f>IF('Sessions'!A176="",0,IF(COUNTIF('Expert Labels'!$B$5:$B$204,'Sessions'!A176)=0,1,0))</x:f>
        <x:v>0</x:v>
      </x:c>
      <x:c r="J180" s="112" t="n">
        <x:f>IF('Expert Labels'!B176="",0,IF(COUNTIF('Expert Labels'!$B$5:$B$204,'Expert Labels'!B176)&gt;1,1,0))</x:f>
        <x:v>0</x:v>
      </x:c>
      <x:c r="K180" s="112" t="n">
        <x:f>IF('Expert Labels'!B176="",0,IF(COUNTIF('Sessions'!$A$5:$A$204,'Expert Labels'!B176)=0,1,0))</x:f>
        <x:v>0</x:v>
      </x:c>
      <x:c r="L180" s="112" t="n">
        <x:f>IF('Session Training Data'!A176="",0,IF(COUNTIF('Sessions'!$A$5:$A$204,'Session Training Data'!A176)=0,1,0))</x:f>
        <x:v>0</x:v>
      </x:c>
      <x:c r="M180" s="112" t="n">
        <x:f>IF('Session Training Data'!AF176="",0,IF(COUNTIF('Participants'!$A$5:$A$204,'Session Training Data'!AF176)=0,1,0))</x:f>
        <x:v>0</x:v>
      </x:c>
      <x:c r="N180" s="112" t="n">
        <x:f>IF(OR('Session Training Data'!A176="",'Session Training Data'!AF176=""),0,IF(COUNTIFS('Sessions'!$A$5:$A$204,'Session Training Data'!A176,'Sessions'!$B$5:$B$204,'Session Training Data'!AF176)=0,1,0))</x:f>
        <x:v>0</x:v>
      </x:c>
      <x:c r="O180" s="112" t="n">
        <x:f>IF('Session Training Data'!AF176="",0,IF(COUNTIFS('Participants'!$A$5:$A$204,'Session Training Data'!AF176,'Participants'!$D$5:$D$204,"yes")=0,1,0))</x:f>
        <x:v>0</x:v>
      </x:c>
      <x:c r="P180" s="112" t="n">
        <x:f>IF('Session Training Data'!AF176="",0,IF(COUNTIF('Session Training Data'!$AF$5:AF176,'Session Training Data'!AF176)=1,1,0))</x:f>
        <x:v>0</x:v>
      </x:c>
      <x:c r="Q180" s="112" t="n">
        <x:f>IF('Participants'!A176="",0,IF(COUNTIF('Participants'!$A$5:$A$204,'Participants'!A176)&gt;1,1,0))</x:f>
        <x:v>0</x:v>
      </x:c>
      <x:c r="R180" s="112" t="n">
        <x:f>IF('Sessions'!A176="",0,IF(COUNTIF('Sessions'!$A$5:$A$204,'Sessions'!A176)&gt;1,1,0))</x:f>
        <x:v>0</x:v>
      </x:c>
      <x:c r="S180" s="112" t="n">
        <x:f>IF('Attempts'!A176="",0,IF(COUNTIF('Attempts'!$A$5:$A$204,'Attempts'!A176)&gt;1,1,0))</x:f>
        <x:v>0</x:v>
      </x:c>
      <x:c r="T180" s="112" t="n">
        <x:f>IF('Session Training Data'!A176="",0,IF(COUNTIF('Session Training Data'!$A$5:$A$204,'Session Training Data'!A176)&gt;1,1,0))</x:f>
        <x:v>0</x:v>
      </x:c>
    </x:row>
    <x:row r="181">
      <x:c r="G181" s="112" t="n">
        <x:f>IF('Sessions'!B177="",0,IF(COUNTIF('Participants'!$A$5:$A$204,'Sessions'!B177)=0,1,0))</x:f>
        <x:v>0</x:v>
      </x:c>
      <x:c r="H181" s="112" t="n">
        <x:f>IF('Attempts'!B177="",0,IF(COUNTIF('Sessions'!$A$5:$A$204,'Attempts'!B177)=0,1,0))</x:f>
        <x:v>0</x:v>
      </x:c>
      <x:c r="I181" s="112" t="n">
        <x:f>IF('Sessions'!A177="",0,IF(COUNTIF('Expert Labels'!$B$5:$B$204,'Sessions'!A177)=0,1,0))</x:f>
        <x:v>0</x:v>
      </x:c>
      <x:c r="J181" s="112" t="n">
        <x:f>IF('Expert Labels'!B177="",0,IF(COUNTIF('Expert Labels'!$B$5:$B$204,'Expert Labels'!B177)&gt;1,1,0))</x:f>
        <x:v>0</x:v>
      </x:c>
      <x:c r="K181" s="112" t="n">
        <x:f>IF('Expert Labels'!B177="",0,IF(COUNTIF('Sessions'!$A$5:$A$204,'Expert Labels'!B177)=0,1,0))</x:f>
        <x:v>0</x:v>
      </x:c>
      <x:c r="L181" s="112" t="n">
        <x:f>IF('Session Training Data'!A177="",0,IF(COUNTIF('Sessions'!$A$5:$A$204,'Session Training Data'!A177)=0,1,0))</x:f>
        <x:v>0</x:v>
      </x:c>
      <x:c r="M181" s="112" t="n">
        <x:f>IF('Session Training Data'!AF177="",0,IF(COUNTIF('Participants'!$A$5:$A$204,'Session Training Data'!AF177)=0,1,0))</x:f>
        <x:v>0</x:v>
      </x:c>
      <x:c r="N181" s="112" t="n">
        <x:f>IF(OR('Session Training Data'!A177="",'Session Training Data'!AF177=""),0,IF(COUNTIFS('Sessions'!$A$5:$A$204,'Session Training Data'!A177,'Sessions'!$B$5:$B$204,'Session Training Data'!AF177)=0,1,0))</x:f>
        <x:v>0</x:v>
      </x:c>
      <x:c r="O181" s="112" t="n">
        <x:f>IF('Session Training Data'!AF177="",0,IF(COUNTIFS('Participants'!$A$5:$A$204,'Session Training Data'!AF177,'Participants'!$D$5:$D$204,"yes")=0,1,0))</x:f>
        <x:v>0</x:v>
      </x:c>
      <x:c r="P181" s="112" t="n">
        <x:f>IF('Session Training Data'!AF177="",0,IF(COUNTIF('Session Training Data'!$AF$5:AF177,'Session Training Data'!AF177)=1,1,0))</x:f>
        <x:v>0</x:v>
      </x:c>
      <x:c r="Q181" s="112" t="n">
        <x:f>IF('Participants'!A177="",0,IF(COUNTIF('Participants'!$A$5:$A$204,'Participants'!A177)&gt;1,1,0))</x:f>
        <x:v>0</x:v>
      </x:c>
      <x:c r="R181" s="112" t="n">
        <x:f>IF('Sessions'!A177="",0,IF(COUNTIF('Sessions'!$A$5:$A$204,'Sessions'!A177)&gt;1,1,0))</x:f>
        <x:v>0</x:v>
      </x:c>
      <x:c r="S181" s="112" t="n">
        <x:f>IF('Attempts'!A177="",0,IF(COUNTIF('Attempts'!$A$5:$A$204,'Attempts'!A177)&gt;1,1,0))</x:f>
        <x:v>0</x:v>
      </x:c>
      <x:c r="T181" s="112" t="n">
        <x:f>IF('Session Training Data'!A177="",0,IF(COUNTIF('Session Training Data'!$A$5:$A$204,'Session Training Data'!A177)&gt;1,1,0))</x:f>
        <x:v>0</x:v>
      </x:c>
    </x:row>
    <x:row r="182">
      <x:c r="G182" s="112" t="n">
        <x:f>IF('Sessions'!B178="",0,IF(COUNTIF('Participants'!$A$5:$A$204,'Sessions'!B178)=0,1,0))</x:f>
        <x:v>0</x:v>
      </x:c>
      <x:c r="H182" s="112" t="n">
        <x:f>IF('Attempts'!B178="",0,IF(COUNTIF('Sessions'!$A$5:$A$204,'Attempts'!B178)=0,1,0))</x:f>
        <x:v>0</x:v>
      </x:c>
      <x:c r="I182" s="112" t="n">
        <x:f>IF('Sessions'!A178="",0,IF(COUNTIF('Expert Labels'!$B$5:$B$204,'Sessions'!A178)=0,1,0))</x:f>
        <x:v>0</x:v>
      </x:c>
      <x:c r="J182" s="112" t="n">
        <x:f>IF('Expert Labels'!B178="",0,IF(COUNTIF('Expert Labels'!$B$5:$B$204,'Expert Labels'!B178)&gt;1,1,0))</x:f>
        <x:v>0</x:v>
      </x:c>
      <x:c r="K182" s="112" t="n">
        <x:f>IF('Expert Labels'!B178="",0,IF(COUNTIF('Sessions'!$A$5:$A$204,'Expert Labels'!B178)=0,1,0))</x:f>
        <x:v>0</x:v>
      </x:c>
      <x:c r="L182" s="112" t="n">
        <x:f>IF('Session Training Data'!A178="",0,IF(COUNTIF('Sessions'!$A$5:$A$204,'Session Training Data'!A178)=0,1,0))</x:f>
        <x:v>0</x:v>
      </x:c>
      <x:c r="M182" s="112" t="n">
        <x:f>IF('Session Training Data'!AF178="",0,IF(COUNTIF('Participants'!$A$5:$A$204,'Session Training Data'!AF178)=0,1,0))</x:f>
        <x:v>0</x:v>
      </x:c>
      <x:c r="N182" s="112" t="n">
        <x:f>IF(OR('Session Training Data'!A178="",'Session Training Data'!AF178=""),0,IF(COUNTIFS('Sessions'!$A$5:$A$204,'Session Training Data'!A178,'Sessions'!$B$5:$B$204,'Session Training Data'!AF178)=0,1,0))</x:f>
        <x:v>0</x:v>
      </x:c>
      <x:c r="O182" s="112" t="n">
        <x:f>IF('Session Training Data'!AF178="",0,IF(COUNTIFS('Participants'!$A$5:$A$204,'Session Training Data'!AF178,'Participants'!$D$5:$D$204,"yes")=0,1,0))</x:f>
        <x:v>0</x:v>
      </x:c>
      <x:c r="P182" s="112" t="n">
        <x:f>IF('Session Training Data'!AF178="",0,IF(COUNTIF('Session Training Data'!$AF$5:AF178,'Session Training Data'!AF178)=1,1,0))</x:f>
        <x:v>0</x:v>
      </x:c>
      <x:c r="Q182" s="112" t="n">
        <x:f>IF('Participants'!A178="",0,IF(COUNTIF('Participants'!$A$5:$A$204,'Participants'!A178)&gt;1,1,0))</x:f>
        <x:v>0</x:v>
      </x:c>
      <x:c r="R182" s="112" t="n">
        <x:f>IF('Sessions'!A178="",0,IF(COUNTIF('Sessions'!$A$5:$A$204,'Sessions'!A178)&gt;1,1,0))</x:f>
        <x:v>0</x:v>
      </x:c>
      <x:c r="S182" s="112" t="n">
        <x:f>IF('Attempts'!A178="",0,IF(COUNTIF('Attempts'!$A$5:$A$204,'Attempts'!A178)&gt;1,1,0))</x:f>
        <x:v>0</x:v>
      </x:c>
      <x:c r="T182" s="112" t="n">
        <x:f>IF('Session Training Data'!A178="",0,IF(COUNTIF('Session Training Data'!$A$5:$A$204,'Session Training Data'!A178)&gt;1,1,0))</x:f>
        <x:v>0</x:v>
      </x:c>
    </x:row>
    <x:row r="183">
      <x:c r="G183" s="112" t="n">
        <x:f>IF('Sessions'!B179="",0,IF(COUNTIF('Participants'!$A$5:$A$204,'Sessions'!B179)=0,1,0))</x:f>
        <x:v>0</x:v>
      </x:c>
      <x:c r="H183" s="112" t="n">
        <x:f>IF('Attempts'!B179="",0,IF(COUNTIF('Sessions'!$A$5:$A$204,'Attempts'!B179)=0,1,0))</x:f>
        <x:v>0</x:v>
      </x:c>
      <x:c r="I183" s="112" t="n">
        <x:f>IF('Sessions'!A179="",0,IF(COUNTIF('Expert Labels'!$B$5:$B$204,'Sessions'!A179)=0,1,0))</x:f>
        <x:v>0</x:v>
      </x:c>
      <x:c r="J183" s="112" t="n">
        <x:f>IF('Expert Labels'!B179="",0,IF(COUNTIF('Expert Labels'!$B$5:$B$204,'Expert Labels'!B179)&gt;1,1,0))</x:f>
        <x:v>0</x:v>
      </x:c>
      <x:c r="K183" s="112" t="n">
        <x:f>IF('Expert Labels'!B179="",0,IF(COUNTIF('Sessions'!$A$5:$A$204,'Expert Labels'!B179)=0,1,0))</x:f>
        <x:v>0</x:v>
      </x:c>
      <x:c r="L183" s="112" t="n">
        <x:f>IF('Session Training Data'!A179="",0,IF(COUNTIF('Sessions'!$A$5:$A$204,'Session Training Data'!A179)=0,1,0))</x:f>
        <x:v>0</x:v>
      </x:c>
      <x:c r="M183" s="112" t="n">
        <x:f>IF('Session Training Data'!AF179="",0,IF(COUNTIF('Participants'!$A$5:$A$204,'Session Training Data'!AF179)=0,1,0))</x:f>
        <x:v>0</x:v>
      </x:c>
      <x:c r="N183" s="112" t="n">
        <x:f>IF(OR('Session Training Data'!A179="",'Session Training Data'!AF179=""),0,IF(COUNTIFS('Sessions'!$A$5:$A$204,'Session Training Data'!A179,'Sessions'!$B$5:$B$204,'Session Training Data'!AF179)=0,1,0))</x:f>
        <x:v>0</x:v>
      </x:c>
      <x:c r="O183" s="112" t="n">
        <x:f>IF('Session Training Data'!AF179="",0,IF(COUNTIFS('Participants'!$A$5:$A$204,'Session Training Data'!AF179,'Participants'!$D$5:$D$204,"yes")=0,1,0))</x:f>
        <x:v>0</x:v>
      </x:c>
      <x:c r="P183" s="112" t="n">
        <x:f>IF('Session Training Data'!AF179="",0,IF(COUNTIF('Session Training Data'!$AF$5:AF179,'Session Training Data'!AF179)=1,1,0))</x:f>
        <x:v>0</x:v>
      </x:c>
      <x:c r="Q183" s="112" t="n">
        <x:f>IF('Participants'!A179="",0,IF(COUNTIF('Participants'!$A$5:$A$204,'Participants'!A179)&gt;1,1,0))</x:f>
        <x:v>0</x:v>
      </x:c>
      <x:c r="R183" s="112" t="n">
        <x:f>IF('Sessions'!A179="",0,IF(COUNTIF('Sessions'!$A$5:$A$204,'Sessions'!A179)&gt;1,1,0))</x:f>
        <x:v>0</x:v>
      </x:c>
      <x:c r="S183" s="112" t="n">
        <x:f>IF('Attempts'!A179="",0,IF(COUNTIF('Attempts'!$A$5:$A$204,'Attempts'!A179)&gt;1,1,0))</x:f>
        <x:v>0</x:v>
      </x:c>
      <x:c r="T183" s="112" t="n">
        <x:f>IF('Session Training Data'!A179="",0,IF(COUNTIF('Session Training Data'!$A$5:$A$204,'Session Training Data'!A179)&gt;1,1,0))</x:f>
        <x:v>0</x:v>
      </x:c>
    </x:row>
    <x:row r="184">
      <x:c r="G184" s="112" t="n">
        <x:f>IF('Sessions'!B180="",0,IF(COUNTIF('Participants'!$A$5:$A$204,'Sessions'!B180)=0,1,0))</x:f>
        <x:v>0</x:v>
      </x:c>
      <x:c r="H184" s="112" t="n">
        <x:f>IF('Attempts'!B180="",0,IF(COUNTIF('Sessions'!$A$5:$A$204,'Attempts'!B180)=0,1,0))</x:f>
        <x:v>0</x:v>
      </x:c>
      <x:c r="I184" s="112" t="n">
        <x:f>IF('Sessions'!A180="",0,IF(COUNTIF('Expert Labels'!$B$5:$B$204,'Sessions'!A180)=0,1,0))</x:f>
        <x:v>0</x:v>
      </x:c>
      <x:c r="J184" s="112" t="n">
        <x:f>IF('Expert Labels'!B180="",0,IF(COUNTIF('Expert Labels'!$B$5:$B$204,'Expert Labels'!B180)&gt;1,1,0))</x:f>
        <x:v>0</x:v>
      </x:c>
      <x:c r="K184" s="112" t="n">
        <x:f>IF('Expert Labels'!B180="",0,IF(COUNTIF('Sessions'!$A$5:$A$204,'Expert Labels'!B180)=0,1,0))</x:f>
        <x:v>0</x:v>
      </x:c>
      <x:c r="L184" s="112" t="n">
        <x:f>IF('Session Training Data'!A180="",0,IF(COUNTIF('Sessions'!$A$5:$A$204,'Session Training Data'!A180)=0,1,0))</x:f>
        <x:v>0</x:v>
      </x:c>
      <x:c r="M184" s="112" t="n">
        <x:f>IF('Session Training Data'!AF180="",0,IF(COUNTIF('Participants'!$A$5:$A$204,'Session Training Data'!AF180)=0,1,0))</x:f>
        <x:v>0</x:v>
      </x:c>
      <x:c r="N184" s="112" t="n">
        <x:f>IF(OR('Session Training Data'!A180="",'Session Training Data'!AF180=""),0,IF(COUNTIFS('Sessions'!$A$5:$A$204,'Session Training Data'!A180,'Sessions'!$B$5:$B$204,'Session Training Data'!AF180)=0,1,0))</x:f>
        <x:v>0</x:v>
      </x:c>
      <x:c r="O184" s="112" t="n">
        <x:f>IF('Session Training Data'!AF180="",0,IF(COUNTIFS('Participants'!$A$5:$A$204,'Session Training Data'!AF180,'Participants'!$D$5:$D$204,"yes")=0,1,0))</x:f>
        <x:v>0</x:v>
      </x:c>
      <x:c r="P184" s="112" t="n">
        <x:f>IF('Session Training Data'!AF180="",0,IF(COUNTIF('Session Training Data'!$AF$5:AF180,'Session Training Data'!AF180)=1,1,0))</x:f>
        <x:v>0</x:v>
      </x:c>
      <x:c r="Q184" s="112" t="n">
        <x:f>IF('Participants'!A180="",0,IF(COUNTIF('Participants'!$A$5:$A$204,'Participants'!A180)&gt;1,1,0))</x:f>
        <x:v>0</x:v>
      </x:c>
      <x:c r="R184" s="112" t="n">
        <x:f>IF('Sessions'!A180="",0,IF(COUNTIF('Sessions'!$A$5:$A$204,'Sessions'!A180)&gt;1,1,0))</x:f>
        <x:v>0</x:v>
      </x:c>
      <x:c r="S184" s="112" t="n">
        <x:f>IF('Attempts'!A180="",0,IF(COUNTIF('Attempts'!$A$5:$A$204,'Attempts'!A180)&gt;1,1,0))</x:f>
        <x:v>0</x:v>
      </x:c>
      <x:c r="T184" s="112" t="n">
        <x:f>IF('Session Training Data'!A180="",0,IF(COUNTIF('Session Training Data'!$A$5:$A$204,'Session Training Data'!A180)&gt;1,1,0))</x:f>
        <x:v>0</x:v>
      </x:c>
    </x:row>
    <x:row r="185">
      <x:c r="G185" s="112" t="n">
        <x:f>IF('Sessions'!B181="",0,IF(COUNTIF('Participants'!$A$5:$A$204,'Sessions'!B181)=0,1,0))</x:f>
        <x:v>0</x:v>
      </x:c>
      <x:c r="H185" s="112" t="n">
        <x:f>IF('Attempts'!B181="",0,IF(COUNTIF('Sessions'!$A$5:$A$204,'Attempts'!B181)=0,1,0))</x:f>
        <x:v>0</x:v>
      </x:c>
      <x:c r="I185" s="112" t="n">
        <x:f>IF('Sessions'!A181="",0,IF(COUNTIF('Expert Labels'!$B$5:$B$204,'Sessions'!A181)=0,1,0))</x:f>
        <x:v>0</x:v>
      </x:c>
      <x:c r="J185" s="112" t="n">
        <x:f>IF('Expert Labels'!B181="",0,IF(COUNTIF('Expert Labels'!$B$5:$B$204,'Expert Labels'!B181)&gt;1,1,0))</x:f>
        <x:v>0</x:v>
      </x:c>
      <x:c r="K185" s="112" t="n">
        <x:f>IF('Expert Labels'!B181="",0,IF(COUNTIF('Sessions'!$A$5:$A$204,'Expert Labels'!B181)=0,1,0))</x:f>
        <x:v>0</x:v>
      </x:c>
      <x:c r="L185" s="112" t="n">
        <x:f>IF('Session Training Data'!A181="",0,IF(COUNTIF('Sessions'!$A$5:$A$204,'Session Training Data'!A181)=0,1,0))</x:f>
        <x:v>0</x:v>
      </x:c>
      <x:c r="M185" s="112" t="n">
        <x:f>IF('Session Training Data'!AF181="",0,IF(COUNTIF('Participants'!$A$5:$A$204,'Session Training Data'!AF181)=0,1,0))</x:f>
        <x:v>0</x:v>
      </x:c>
      <x:c r="N185" s="112" t="n">
        <x:f>IF(OR('Session Training Data'!A181="",'Session Training Data'!AF181=""),0,IF(COUNTIFS('Sessions'!$A$5:$A$204,'Session Training Data'!A181,'Sessions'!$B$5:$B$204,'Session Training Data'!AF181)=0,1,0))</x:f>
        <x:v>0</x:v>
      </x:c>
      <x:c r="O185" s="112" t="n">
        <x:f>IF('Session Training Data'!AF181="",0,IF(COUNTIFS('Participants'!$A$5:$A$204,'Session Training Data'!AF181,'Participants'!$D$5:$D$204,"yes")=0,1,0))</x:f>
        <x:v>0</x:v>
      </x:c>
      <x:c r="P185" s="112" t="n">
        <x:f>IF('Session Training Data'!AF181="",0,IF(COUNTIF('Session Training Data'!$AF$5:AF181,'Session Training Data'!AF181)=1,1,0))</x:f>
        <x:v>0</x:v>
      </x:c>
      <x:c r="Q185" s="112" t="n">
        <x:f>IF('Participants'!A181="",0,IF(COUNTIF('Participants'!$A$5:$A$204,'Participants'!A181)&gt;1,1,0))</x:f>
        <x:v>0</x:v>
      </x:c>
      <x:c r="R185" s="112" t="n">
        <x:f>IF('Sessions'!A181="",0,IF(COUNTIF('Sessions'!$A$5:$A$204,'Sessions'!A181)&gt;1,1,0))</x:f>
        <x:v>0</x:v>
      </x:c>
      <x:c r="S185" s="112" t="n">
        <x:f>IF('Attempts'!A181="",0,IF(COUNTIF('Attempts'!$A$5:$A$204,'Attempts'!A181)&gt;1,1,0))</x:f>
        <x:v>0</x:v>
      </x:c>
      <x:c r="T185" s="112" t="n">
        <x:f>IF('Session Training Data'!A181="",0,IF(COUNTIF('Session Training Data'!$A$5:$A$204,'Session Training Data'!A181)&gt;1,1,0))</x:f>
        <x:v>0</x:v>
      </x:c>
    </x:row>
    <x:row r="186">
      <x:c r="G186" s="112" t="n">
        <x:f>IF('Sessions'!B182="",0,IF(COUNTIF('Participants'!$A$5:$A$204,'Sessions'!B182)=0,1,0))</x:f>
        <x:v>0</x:v>
      </x:c>
      <x:c r="H186" s="112" t="n">
        <x:f>IF('Attempts'!B182="",0,IF(COUNTIF('Sessions'!$A$5:$A$204,'Attempts'!B182)=0,1,0))</x:f>
        <x:v>0</x:v>
      </x:c>
      <x:c r="I186" s="112" t="n">
        <x:f>IF('Sessions'!A182="",0,IF(COUNTIF('Expert Labels'!$B$5:$B$204,'Sessions'!A182)=0,1,0))</x:f>
        <x:v>0</x:v>
      </x:c>
      <x:c r="J186" s="112" t="n">
        <x:f>IF('Expert Labels'!B182="",0,IF(COUNTIF('Expert Labels'!$B$5:$B$204,'Expert Labels'!B182)&gt;1,1,0))</x:f>
        <x:v>0</x:v>
      </x:c>
      <x:c r="K186" s="112" t="n">
        <x:f>IF('Expert Labels'!B182="",0,IF(COUNTIF('Sessions'!$A$5:$A$204,'Expert Labels'!B182)=0,1,0))</x:f>
        <x:v>0</x:v>
      </x:c>
      <x:c r="L186" s="112" t="n">
        <x:f>IF('Session Training Data'!A182="",0,IF(COUNTIF('Sessions'!$A$5:$A$204,'Session Training Data'!A182)=0,1,0))</x:f>
        <x:v>0</x:v>
      </x:c>
      <x:c r="M186" s="112" t="n">
        <x:f>IF('Session Training Data'!AF182="",0,IF(COUNTIF('Participants'!$A$5:$A$204,'Session Training Data'!AF182)=0,1,0))</x:f>
        <x:v>0</x:v>
      </x:c>
      <x:c r="N186" s="112" t="n">
        <x:f>IF(OR('Session Training Data'!A182="",'Session Training Data'!AF182=""),0,IF(COUNTIFS('Sessions'!$A$5:$A$204,'Session Training Data'!A182,'Sessions'!$B$5:$B$204,'Session Training Data'!AF182)=0,1,0))</x:f>
        <x:v>0</x:v>
      </x:c>
      <x:c r="O186" s="112" t="n">
        <x:f>IF('Session Training Data'!AF182="",0,IF(COUNTIFS('Participants'!$A$5:$A$204,'Session Training Data'!AF182,'Participants'!$D$5:$D$204,"yes")=0,1,0))</x:f>
        <x:v>0</x:v>
      </x:c>
      <x:c r="P186" s="112" t="n">
        <x:f>IF('Session Training Data'!AF182="",0,IF(COUNTIF('Session Training Data'!$AF$5:AF182,'Session Training Data'!AF182)=1,1,0))</x:f>
        <x:v>0</x:v>
      </x:c>
      <x:c r="Q186" s="112" t="n">
        <x:f>IF('Participants'!A182="",0,IF(COUNTIF('Participants'!$A$5:$A$204,'Participants'!A182)&gt;1,1,0))</x:f>
        <x:v>0</x:v>
      </x:c>
      <x:c r="R186" s="112" t="n">
        <x:f>IF('Sessions'!A182="",0,IF(COUNTIF('Sessions'!$A$5:$A$204,'Sessions'!A182)&gt;1,1,0))</x:f>
        <x:v>0</x:v>
      </x:c>
      <x:c r="S186" s="112" t="n">
        <x:f>IF('Attempts'!A182="",0,IF(COUNTIF('Attempts'!$A$5:$A$204,'Attempts'!A182)&gt;1,1,0))</x:f>
        <x:v>0</x:v>
      </x:c>
      <x:c r="T186" s="112" t="n">
        <x:f>IF('Session Training Data'!A182="",0,IF(COUNTIF('Session Training Data'!$A$5:$A$204,'Session Training Data'!A182)&gt;1,1,0))</x:f>
        <x:v>0</x:v>
      </x:c>
    </x:row>
    <x:row r="187">
      <x:c r="G187" s="112" t="n">
        <x:f>IF('Sessions'!B183="",0,IF(COUNTIF('Participants'!$A$5:$A$204,'Sessions'!B183)=0,1,0))</x:f>
        <x:v>0</x:v>
      </x:c>
      <x:c r="H187" s="112" t="n">
        <x:f>IF('Attempts'!B183="",0,IF(COUNTIF('Sessions'!$A$5:$A$204,'Attempts'!B183)=0,1,0))</x:f>
        <x:v>0</x:v>
      </x:c>
      <x:c r="I187" s="112" t="n">
        <x:f>IF('Sessions'!A183="",0,IF(COUNTIF('Expert Labels'!$B$5:$B$204,'Sessions'!A183)=0,1,0))</x:f>
        <x:v>0</x:v>
      </x:c>
      <x:c r="J187" s="112" t="n">
        <x:f>IF('Expert Labels'!B183="",0,IF(COUNTIF('Expert Labels'!$B$5:$B$204,'Expert Labels'!B183)&gt;1,1,0))</x:f>
        <x:v>0</x:v>
      </x:c>
      <x:c r="K187" s="112" t="n">
        <x:f>IF('Expert Labels'!B183="",0,IF(COUNTIF('Sessions'!$A$5:$A$204,'Expert Labels'!B183)=0,1,0))</x:f>
        <x:v>0</x:v>
      </x:c>
      <x:c r="L187" s="112" t="n">
        <x:f>IF('Session Training Data'!A183="",0,IF(COUNTIF('Sessions'!$A$5:$A$204,'Session Training Data'!A183)=0,1,0))</x:f>
        <x:v>0</x:v>
      </x:c>
      <x:c r="M187" s="112" t="n">
        <x:f>IF('Session Training Data'!AF183="",0,IF(COUNTIF('Participants'!$A$5:$A$204,'Session Training Data'!AF183)=0,1,0))</x:f>
        <x:v>0</x:v>
      </x:c>
      <x:c r="N187" s="112" t="n">
        <x:f>IF(OR('Session Training Data'!A183="",'Session Training Data'!AF183=""),0,IF(COUNTIFS('Sessions'!$A$5:$A$204,'Session Training Data'!A183,'Sessions'!$B$5:$B$204,'Session Training Data'!AF183)=0,1,0))</x:f>
        <x:v>0</x:v>
      </x:c>
      <x:c r="O187" s="112" t="n">
        <x:f>IF('Session Training Data'!AF183="",0,IF(COUNTIFS('Participants'!$A$5:$A$204,'Session Training Data'!AF183,'Participants'!$D$5:$D$204,"yes")=0,1,0))</x:f>
        <x:v>0</x:v>
      </x:c>
      <x:c r="P187" s="112" t="n">
        <x:f>IF('Session Training Data'!AF183="",0,IF(COUNTIF('Session Training Data'!$AF$5:AF183,'Session Training Data'!AF183)=1,1,0))</x:f>
        <x:v>0</x:v>
      </x:c>
      <x:c r="Q187" s="112" t="n">
        <x:f>IF('Participants'!A183="",0,IF(COUNTIF('Participants'!$A$5:$A$204,'Participants'!A183)&gt;1,1,0))</x:f>
        <x:v>0</x:v>
      </x:c>
      <x:c r="R187" s="112" t="n">
        <x:f>IF('Sessions'!A183="",0,IF(COUNTIF('Sessions'!$A$5:$A$204,'Sessions'!A183)&gt;1,1,0))</x:f>
        <x:v>0</x:v>
      </x:c>
      <x:c r="S187" s="112" t="n">
        <x:f>IF('Attempts'!A183="",0,IF(COUNTIF('Attempts'!$A$5:$A$204,'Attempts'!A183)&gt;1,1,0))</x:f>
        <x:v>0</x:v>
      </x:c>
      <x:c r="T187" s="112" t="n">
        <x:f>IF('Session Training Data'!A183="",0,IF(COUNTIF('Session Training Data'!$A$5:$A$204,'Session Training Data'!A183)&gt;1,1,0))</x:f>
        <x:v>0</x:v>
      </x:c>
    </x:row>
    <x:row r="188">
      <x:c r="G188" s="112" t="n">
        <x:f>IF('Sessions'!B184="",0,IF(COUNTIF('Participants'!$A$5:$A$204,'Sessions'!B184)=0,1,0))</x:f>
        <x:v>0</x:v>
      </x:c>
      <x:c r="H188" s="112" t="n">
        <x:f>IF('Attempts'!B184="",0,IF(COUNTIF('Sessions'!$A$5:$A$204,'Attempts'!B184)=0,1,0))</x:f>
        <x:v>0</x:v>
      </x:c>
      <x:c r="I188" s="112" t="n">
        <x:f>IF('Sessions'!A184="",0,IF(COUNTIF('Expert Labels'!$B$5:$B$204,'Sessions'!A184)=0,1,0))</x:f>
        <x:v>0</x:v>
      </x:c>
      <x:c r="J188" s="112" t="n">
        <x:f>IF('Expert Labels'!B184="",0,IF(COUNTIF('Expert Labels'!$B$5:$B$204,'Expert Labels'!B184)&gt;1,1,0))</x:f>
        <x:v>0</x:v>
      </x:c>
      <x:c r="K188" s="112" t="n">
        <x:f>IF('Expert Labels'!B184="",0,IF(COUNTIF('Sessions'!$A$5:$A$204,'Expert Labels'!B184)=0,1,0))</x:f>
        <x:v>0</x:v>
      </x:c>
      <x:c r="L188" s="112" t="n">
        <x:f>IF('Session Training Data'!A184="",0,IF(COUNTIF('Sessions'!$A$5:$A$204,'Session Training Data'!A184)=0,1,0))</x:f>
        <x:v>0</x:v>
      </x:c>
      <x:c r="M188" s="112" t="n">
        <x:f>IF('Session Training Data'!AF184="",0,IF(COUNTIF('Participants'!$A$5:$A$204,'Session Training Data'!AF184)=0,1,0))</x:f>
        <x:v>0</x:v>
      </x:c>
      <x:c r="N188" s="112" t="n">
        <x:f>IF(OR('Session Training Data'!A184="",'Session Training Data'!AF184=""),0,IF(COUNTIFS('Sessions'!$A$5:$A$204,'Session Training Data'!A184,'Sessions'!$B$5:$B$204,'Session Training Data'!AF184)=0,1,0))</x:f>
        <x:v>0</x:v>
      </x:c>
      <x:c r="O188" s="112" t="n">
        <x:f>IF('Session Training Data'!AF184="",0,IF(COUNTIFS('Participants'!$A$5:$A$204,'Session Training Data'!AF184,'Participants'!$D$5:$D$204,"yes")=0,1,0))</x:f>
        <x:v>0</x:v>
      </x:c>
      <x:c r="P188" s="112" t="n">
        <x:f>IF('Session Training Data'!AF184="",0,IF(COUNTIF('Session Training Data'!$AF$5:AF184,'Session Training Data'!AF184)=1,1,0))</x:f>
        <x:v>0</x:v>
      </x:c>
      <x:c r="Q188" s="112" t="n">
        <x:f>IF('Participants'!A184="",0,IF(COUNTIF('Participants'!$A$5:$A$204,'Participants'!A184)&gt;1,1,0))</x:f>
        <x:v>0</x:v>
      </x:c>
      <x:c r="R188" s="112" t="n">
        <x:f>IF('Sessions'!A184="",0,IF(COUNTIF('Sessions'!$A$5:$A$204,'Sessions'!A184)&gt;1,1,0))</x:f>
        <x:v>0</x:v>
      </x:c>
      <x:c r="S188" s="112" t="n">
        <x:f>IF('Attempts'!A184="",0,IF(COUNTIF('Attempts'!$A$5:$A$204,'Attempts'!A184)&gt;1,1,0))</x:f>
        <x:v>0</x:v>
      </x:c>
      <x:c r="T188" s="112" t="n">
        <x:f>IF('Session Training Data'!A184="",0,IF(COUNTIF('Session Training Data'!$A$5:$A$204,'Session Training Data'!A184)&gt;1,1,0))</x:f>
        <x:v>0</x:v>
      </x:c>
    </x:row>
    <x:row r="189">
      <x:c r="G189" s="112" t="n">
        <x:f>IF('Sessions'!B185="",0,IF(COUNTIF('Participants'!$A$5:$A$204,'Sessions'!B185)=0,1,0))</x:f>
        <x:v>0</x:v>
      </x:c>
      <x:c r="H189" s="112" t="n">
        <x:f>IF('Attempts'!B185="",0,IF(COUNTIF('Sessions'!$A$5:$A$204,'Attempts'!B185)=0,1,0))</x:f>
        <x:v>0</x:v>
      </x:c>
      <x:c r="I189" s="112" t="n">
        <x:f>IF('Sessions'!A185="",0,IF(COUNTIF('Expert Labels'!$B$5:$B$204,'Sessions'!A185)=0,1,0))</x:f>
        <x:v>0</x:v>
      </x:c>
      <x:c r="J189" s="112" t="n">
        <x:f>IF('Expert Labels'!B185="",0,IF(COUNTIF('Expert Labels'!$B$5:$B$204,'Expert Labels'!B185)&gt;1,1,0))</x:f>
        <x:v>0</x:v>
      </x:c>
      <x:c r="K189" s="112" t="n">
        <x:f>IF('Expert Labels'!B185="",0,IF(COUNTIF('Sessions'!$A$5:$A$204,'Expert Labels'!B185)=0,1,0))</x:f>
        <x:v>0</x:v>
      </x:c>
      <x:c r="L189" s="112" t="n">
        <x:f>IF('Session Training Data'!A185="",0,IF(COUNTIF('Sessions'!$A$5:$A$204,'Session Training Data'!A185)=0,1,0))</x:f>
        <x:v>0</x:v>
      </x:c>
      <x:c r="M189" s="112" t="n">
        <x:f>IF('Session Training Data'!AF185="",0,IF(COUNTIF('Participants'!$A$5:$A$204,'Session Training Data'!AF185)=0,1,0))</x:f>
        <x:v>0</x:v>
      </x:c>
      <x:c r="N189" s="112" t="n">
        <x:f>IF(OR('Session Training Data'!A185="",'Session Training Data'!AF185=""),0,IF(COUNTIFS('Sessions'!$A$5:$A$204,'Session Training Data'!A185,'Sessions'!$B$5:$B$204,'Session Training Data'!AF185)=0,1,0))</x:f>
        <x:v>0</x:v>
      </x:c>
      <x:c r="O189" s="112" t="n">
        <x:f>IF('Session Training Data'!AF185="",0,IF(COUNTIFS('Participants'!$A$5:$A$204,'Session Training Data'!AF185,'Participants'!$D$5:$D$204,"yes")=0,1,0))</x:f>
        <x:v>0</x:v>
      </x:c>
      <x:c r="P189" s="112" t="n">
        <x:f>IF('Session Training Data'!AF185="",0,IF(COUNTIF('Session Training Data'!$AF$5:AF185,'Session Training Data'!AF185)=1,1,0))</x:f>
        <x:v>0</x:v>
      </x:c>
      <x:c r="Q189" s="112" t="n">
        <x:f>IF('Participants'!A185="",0,IF(COUNTIF('Participants'!$A$5:$A$204,'Participants'!A185)&gt;1,1,0))</x:f>
        <x:v>0</x:v>
      </x:c>
      <x:c r="R189" s="112" t="n">
        <x:f>IF('Sessions'!A185="",0,IF(COUNTIF('Sessions'!$A$5:$A$204,'Sessions'!A185)&gt;1,1,0))</x:f>
        <x:v>0</x:v>
      </x:c>
      <x:c r="S189" s="112" t="n">
        <x:f>IF('Attempts'!A185="",0,IF(COUNTIF('Attempts'!$A$5:$A$204,'Attempts'!A185)&gt;1,1,0))</x:f>
        <x:v>0</x:v>
      </x:c>
      <x:c r="T189" s="112" t="n">
        <x:f>IF('Session Training Data'!A185="",0,IF(COUNTIF('Session Training Data'!$A$5:$A$204,'Session Training Data'!A185)&gt;1,1,0))</x:f>
        <x:v>0</x:v>
      </x:c>
    </x:row>
    <x:row r="190">
      <x:c r="G190" s="112" t="n">
        <x:f>IF('Sessions'!B186="",0,IF(COUNTIF('Participants'!$A$5:$A$204,'Sessions'!B186)=0,1,0))</x:f>
        <x:v>0</x:v>
      </x:c>
      <x:c r="H190" s="112" t="n">
        <x:f>IF('Attempts'!B186="",0,IF(COUNTIF('Sessions'!$A$5:$A$204,'Attempts'!B186)=0,1,0))</x:f>
        <x:v>0</x:v>
      </x:c>
      <x:c r="I190" s="112" t="n">
        <x:f>IF('Sessions'!A186="",0,IF(COUNTIF('Expert Labels'!$B$5:$B$204,'Sessions'!A186)=0,1,0))</x:f>
        <x:v>0</x:v>
      </x:c>
      <x:c r="J190" s="112" t="n">
        <x:f>IF('Expert Labels'!B186="",0,IF(COUNTIF('Expert Labels'!$B$5:$B$204,'Expert Labels'!B186)&gt;1,1,0))</x:f>
        <x:v>0</x:v>
      </x:c>
      <x:c r="K190" s="112" t="n">
        <x:f>IF('Expert Labels'!B186="",0,IF(COUNTIF('Sessions'!$A$5:$A$204,'Expert Labels'!B186)=0,1,0))</x:f>
        <x:v>0</x:v>
      </x:c>
      <x:c r="L190" s="112" t="n">
        <x:f>IF('Session Training Data'!A186="",0,IF(COUNTIF('Sessions'!$A$5:$A$204,'Session Training Data'!A186)=0,1,0))</x:f>
        <x:v>0</x:v>
      </x:c>
      <x:c r="M190" s="112" t="n">
        <x:f>IF('Session Training Data'!AF186="",0,IF(COUNTIF('Participants'!$A$5:$A$204,'Session Training Data'!AF186)=0,1,0))</x:f>
        <x:v>0</x:v>
      </x:c>
      <x:c r="N190" s="112" t="n">
        <x:f>IF(OR('Session Training Data'!A186="",'Session Training Data'!AF186=""),0,IF(COUNTIFS('Sessions'!$A$5:$A$204,'Session Training Data'!A186,'Sessions'!$B$5:$B$204,'Session Training Data'!AF186)=0,1,0))</x:f>
        <x:v>0</x:v>
      </x:c>
      <x:c r="O190" s="112" t="n">
        <x:f>IF('Session Training Data'!AF186="",0,IF(COUNTIFS('Participants'!$A$5:$A$204,'Session Training Data'!AF186,'Participants'!$D$5:$D$204,"yes")=0,1,0))</x:f>
        <x:v>0</x:v>
      </x:c>
      <x:c r="P190" s="112" t="n">
        <x:f>IF('Session Training Data'!AF186="",0,IF(COUNTIF('Session Training Data'!$AF$5:AF186,'Session Training Data'!AF186)=1,1,0))</x:f>
        <x:v>0</x:v>
      </x:c>
      <x:c r="Q190" s="112" t="n">
        <x:f>IF('Participants'!A186="",0,IF(COUNTIF('Participants'!$A$5:$A$204,'Participants'!A186)&gt;1,1,0))</x:f>
        <x:v>0</x:v>
      </x:c>
      <x:c r="R190" s="112" t="n">
        <x:f>IF('Sessions'!A186="",0,IF(COUNTIF('Sessions'!$A$5:$A$204,'Sessions'!A186)&gt;1,1,0))</x:f>
        <x:v>0</x:v>
      </x:c>
      <x:c r="S190" s="112" t="n">
        <x:f>IF('Attempts'!A186="",0,IF(COUNTIF('Attempts'!$A$5:$A$204,'Attempts'!A186)&gt;1,1,0))</x:f>
        <x:v>0</x:v>
      </x:c>
      <x:c r="T190" s="112" t="n">
        <x:f>IF('Session Training Data'!A186="",0,IF(COUNTIF('Session Training Data'!$A$5:$A$204,'Session Training Data'!A186)&gt;1,1,0))</x:f>
        <x:v>0</x:v>
      </x:c>
    </x:row>
    <x:row r="191">
      <x:c r="G191" s="112" t="n">
        <x:f>IF('Sessions'!B187="",0,IF(COUNTIF('Participants'!$A$5:$A$204,'Sessions'!B187)=0,1,0))</x:f>
        <x:v>0</x:v>
      </x:c>
      <x:c r="H191" s="112" t="n">
        <x:f>IF('Attempts'!B187="",0,IF(COUNTIF('Sessions'!$A$5:$A$204,'Attempts'!B187)=0,1,0))</x:f>
        <x:v>0</x:v>
      </x:c>
      <x:c r="I191" s="112" t="n">
        <x:f>IF('Sessions'!A187="",0,IF(COUNTIF('Expert Labels'!$B$5:$B$204,'Sessions'!A187)=0,1,0))</x:f>
        <x:v>0</x:v>
      </x:c>
      <x:c r="J191" s="112" t="n">
        <x:f>IF('Expert Labels'!B187="",0,IF(COUNTIF('Expert Labels'!$B$5:$B$204,'Expert Labels'!B187)&gt;1,1,0))</x:f>
        <x:v>0</x:v>
      </x:c>
      <x:c r="K191" s="112" t="n">
        <x:f>IF('Expert Labels'!B187="",0,IF(COUNTIF('Sessions'!$A$5:$A$204,'Expert Labels'!B187)=0,1,0))</x:f>
        <x:v>0</x:v>
      </x:c>
      <x:c r="L191" s="112" t="n">
        <x:f>IF('Session Training Data'!A187="",0,IF(COUNTIF('Sessions'!$A$5:$A$204,'Session Training Data'!A187)=0,1,0))</x:f>
        <x:v>0</x:v>
      </x:c>
      <x:c r="M191" s="112" t="n">
        <x:f>IF('Session Training Data'!AF187="",0,IF(COUNTIF('Participants'!$A$5:$A$204,'Session Training Data'!AF187)=0,1,0))</x:f>
        <x:v>0</x:v>
      </x:c>
      <x:c r="N191" s="112" t="n">
        <x:f>IF(OR('Session Training Data'!A187="",'Session Training Data'!AF187=""),0,IF(COUNTIFS('Sessions'!$A$5:$A$204,'Session Training Data'!A187,'Sessions'!$B$5:$B$204,'Session Training Data'!AF187)=0,1,0))</x:f>
        <x:v>0</x:v>
      </x:c>
      <x:c r="O191" s="112" t="n">
        <x:f>IF('Session Training Data'!AF187="",0,IF(COUNTIFS('Participants'!$A$5:$A$204,'Session Training Data'!AF187,'Participants'!$D$5:$D$204,"yes")=0,1,0))</x:f>
        <x:v>0</x:v>
      </x:c>
      <x:c r="P191" s="112" t="n">
        <x:f>IF('Session Training Data'!AF187="",0,IF(COUNTIF('Session Training Data'!$AF$5:AF187,'Session Training Data'!AF187)=1,1,0))</x:f>
        <x:v>0</x:v>
      </x:c>
      <x:c r="Q191" s="112" t="n">
        <x:f>IF('Participants'!A187="",0,IF(COUNTIF('Participants'!$A$5:$A$204,'Participants'!A187)&gt;1,1,0))</x:f>
        <x:v>0</x:v>
      </x:c>
      <x:c r="R191" s="112" t="n">
        <x:f>IF('Sessions'!A187="",0,IF(COUNTIF('Sessions'!$A$5:$A$204,'Sessions'!A187)&gt;1,1,0))</x:f>
        <x:v>0</x:v>
      </x:c>
      <x:c r="S191" s="112" t="n">
        <x:f>IF('Attempts'!A187="",0,IF(COUNTIF('Attempts'!$A$5:$A$204,'Attempts'!A187)&gt;1,1,0))</x:f>
        <x:v>0</x:v>
      </x:c>
      <x:c r="T191" s="112" t="n">
        <x:f>IF('Session Training Data'!A187="",0,IF(COUNTIF('Session Training Data'!$A$5:$A$204,'Session Training Data'!A187)&gt;1,1,0))</x:f>
        <x:v>0</x:v>
      </x:c>
    </x:row>
    <x:row r="192">
      <x:c r="G192" s="112" t="n">
        <x:f>IF('Sessions'!B188="",0,IF(COUNTIF('Participants'!$A$5:$A$204,'Sessions'!B188)=0,1,0))</x:f>
        <x:v>0</x:v>
      </x:c>
      <x:c r="H192" s="112" t="n">
        <x:f>IF('Attempts'!B188="",0,IF(COUNTIF('Sessions'!$A$5:$A$204,'Attempts'!B188)=0,1,0))</x:f>
        <x:v>0</x:v>
      </x:c>
      <x:c r="I192" s="112" t="n">
        <x:f>IF('Sessions'!A188="",0,IF(COUNTIF('Expert Labels'!$B$5:$B$204,'Sessions'!A188)=0,1,0))</x:f>
        <x:v>0</x:v>
      </x:c>
      <x:c r="J192" s="112" t="n">
        <x:f>IF('Expert Labels'!B188="",0,IF(COUNTIF('Expert Labels'!$B$5:$B$204,'Expert Labels'!B188)&gt;1,1,0))</x:f>
        <x:v>0</x:v>
      </x:c>
      <x:c r="K192" s="112" t="n">
        <x:f>IF('Expert Labels'!B188="",0,IF(COUNTIF('Sessions'!$A$5:$A$204,'Expert Labels'!B188)=0,1,0))</x:f>
        <x:v>0</x:v>
      </x:c>
      <x:c r="L192" s="112" t="n">
        <x:f>IF('Session Training Data'!A188="",0,IF(COUNTIF('Sessions'!$A$5:$A$204,'Session Training Data'!A188)=0,1,0))</x:f>
        <x:v>0</x:v>
      </x:c>
      <x:c r="M192" s="112" t="n">
        <x:f>IF('Session Training Data'!AF188="",0,IF(COUNTIF('Participants'!$A$5:$A$204,'Session Training Data'!AF188)=0,1,0))</x:f>
        <x:v>0</x:v>
      </x:c>
      <x:c r="N192" s="112" t="n">
        <x:f>IF(OR('Session Training Data'!A188="",'Session Training Data'!AF188=""),0,IF(COUNTIFS('Sessions'!$A$5:$A$204,'Session Training Data'!A188,'Sessions'!$B$5:$B$204,'Session Training Data'!AF188)=0,1,0))</x:f>
        <x:v>0</x:v>
      </x:c>
      <x:c r="O192" s="112" t="n">
        <x:f>IF('Session Training Data'!AF188="",0,IF(COUNTIFS('Participants'!$A$5:$A$204,'Session Training Data'!AF188,'Participants'!$D$5:$D$204,"yes")=0,1,0))</x:f>
        <x:v>0</x:v>
      </x:c>
      <x:c r="P192" s="112" t="n">
        <x:f>IF('Session Training Data'!AF188="",0,IF(COUNTIF('Session Training Data'!$AF$5:AF188,'Session Training Data'!AF188)=1,1,0))</x:f>
        <x:v>0</x:v>
      </x:c>
      <x:c r="Q192" s="112" t="n">
        <x:f>IF('Participants'!A188="",0,IF(COUNTIF('Participants'!$A$5:$A$204,'Participants'!A188)&gt;1,1,0))</x:f>
        <x:v>0</x:v>
      </x:c>
      <x:c r="R192" s="112" t="n">
        <x:f>IF('Sessions'!A188="",0,IF(COUNTIF('Sessions'!$A$5:$A$204,'Sessions'!A188)&gt;1,1,0))</x:f>
        <x:v>0</x:v>
      </x:c>
      <x:c r="S192" s="112" t="n">
        <x:f>IF('Attempts'!A188="",0,IF(COUNTIF('Attempts'!$A$5:$A$204,'Attempts'!A188)&gt;1,1,0))</x:f>
        <x:v>0</x:v>
      </x:c>
      <x:c r="T192" s="112" t="n">
        <x:f>IF('Session Training Data'!A188="",0,IF(COUNTIF('Session Training Data'!$A$5:$A$204,'Session Training Data'!A188)&gt;1,1,0))</x:f>
        <x:v>0</x:v>
      </x:c>
    </x:row>
    <x:row r="193">
      <x:c r="G193" s="112" t="n">
        <x:f>IF('Sessions'!B189="",0,IF(COUNTIF('Participants'!$A$5:$A$204,'Sessions'!B189)=0,1,0))</x:f>
        <x:v>0</x:v>
      </x:c>
      <x:c r="H193" s="112" t="n">
        <x:f>IF('Attempts'!B189="",0,IF(COUNTIF('Sessions'!$A$5:$A$204,'Attempts'!B189)=0,1,0))</x:f>
        <x:v>0</x:v>
      </x:c>
      <x:c r="I193" s="112" t="n">
        <x:f>IF('Sessions'!A189="",0,IF(COUNTIF('Expert Labels'!$B$5:$B$204,'Sessions'!A189)=0,1,0))</x:f>
        <x:v>0</x:v>
      </x:c>
      <x:c r="J193" s="112" t="n">
        <x:f>IF('Expert Labels'!B189="",0,IF(COUNTIF('Expert Labels'!$B$5:$B$204,'Expert Labels'!B189)&gt;1,1,0))</x:f>
        <x:v>0</x:v>
      </x:c>
      <x:c r="K193" s="112" t="n">
        <x:f>IF('Expert Labels'!B189="",0,IF(COUNTIF('Sessions'!$A$5:$A$204,'Expert Labels'!B189)=0,1,0))</x:f>
        <x:v>0</x:v>
      </x:c>
      <x:c r="L193" s="112" t="n">
        <x:f>IF('Session Training Data'!A189="",0,IF(COUNTIF('Sessions'!$A$5:$A$204,'Session Training Data'!A189)=0,1,0))</x:f>
        <x:v>0</x:v>
      </x:c>
      <x:c r="M193" s="112" t="n">
        <x:f>IF('Session Training Data'!AF189="",0,IF(COUNTIF('Participants'!$A$5:$A$204,'Session Training Data'!AF189)=0,1,0))</x:f>
        <x:v>0</x:v>
      </x:c>
      <x:c r="N193" s="112" t="n">
        <x:f>IF(OR('Session Training Data'!A189="",'Session Training Data'!AF189=""),0,IF(COUNTIFS('Sessions'!$A$5:$A$204,'Session Training Data'!A189,'Sessions'!$B$5:$B$204,'Session Training Data'!AF189)=0,1,0))</x:f>
        <x:v>0</x:v>
      </x:c>
      <x:c r="O193" s="112" t="n">
        <x:f>IF('Session Training Data'!AF189="",0,IF(COUNTIFS('Participants'!$A$5:$A$204,'Session Training Data'!AF189,'Participants'!$D$5:$D$204,"yes")=0,1,0))</x:f>
        <x:v>0</x:v>
      </x:c>
      <x:c r="P193" s="112" t="n">
        <x:f>IF('Session Training Data'!AF189="",0,IF(COUNTIF('Session Training Data'!$AF$5:AF189,'Session Training Data'!AF189)=1,1,0))</x:f>
        <x:v>0</x:v>
      </x:c>
      <x:c r="Q193" s="112" t="n">
        <x:f>IF('Participants'!A189="",0,IF(COUNTIF('Participants'!$A$5:$A$204,'Participants'!A189)&gt;1,1,0))</x:f>
        <x:v>0</x:v>
      </x:c>
      <x:c r="R193" s="112" t="n">
        <x:f>IF('Sessions'!A189="",0,IF(COUNTIF('Sessions'!$A$5:$A$204,'Sessions'!A189)&gt;1,1,0))</x:f>
        <x:v>0</x:v>
      </x:c>
      <x:c r="S193" s="112" t="n">
        <x:f>IF('Attempts'!A189="",0,IF(COUNTIF('Attempts'!$A$5:$A$204,'Attempts'!A189)&gt;1,1,0))</x:f>
        <x:v>0</x:v>
      </x:c>
      <x:c r="T193" s="112" t="n">
        <x:f>IF('Session Training Data'!A189="",0,IF(COUNTIF('Session Training Data'!$A$5:$A$204,'Session Training Data'!A189)&gt;1,1,0))</x:f>
        <x:v>0</x:v>
      </x:c>
    </x:row>
    <x:row r="194">
      <x:c r="G194" s="112" t="n">
        <x:f>IF('Sessions'!B190="",0,IF(COUNTIF('Participants'!$A$5:$A$204,'Sessions'!B190)=0,1,0))</x:f>
        <x:v>0</x:v>
      </x:c>
      <x:c r="H194" s="112" t="n">
        <x:f>IF('Attempts'!B190="",0,IF(COUNTIF('Sessions'!$A$5:$A$204,'Attempts'!B190)=0,1,0))</x:f>
        <x:v>0</x:v>
      </x:c>
      <x:c r="I194" s="112" t="n">
        <x:f>IF('Sessions'!A190="",0,IF(COUNTIF('Expert Labels'!$B$5:$B$204,'Sessions'!A190)=0,1,0))</x:f>
        <x:v>0</x:v>
      </x:c>
      <x:c r="J194" s="112" t="n">
        <x:f>IF('Expert Labels'!B190="",0,IF(COUNTIF('Expert Labels'!$B$5:$B$204,'Expert Labels'!B190)&gt;1,1,0))</x:f>
        <x:v>0</x:v>
      </x:c>
      <x:c r="K194" s="112" t="n">
        <x:f>IF('Expert Labels'!B190="",0,IF(COUNTIF('Sessions'!$A$5:$A$204,'Expert Labels'!B190)=0,1,0))</x:f>
        <x:v>0</x:v>
      </x:c>
      <x:c r="L194" s="112" t="n">
        <x:f>IF('Session Training Data'!A190="",0,IF(COUNTIF('Sessions'!$A$5:$A$204,'Session Training Data'!A190)=0,1,0))</x:f>
        <x:v>0</x:v>
      </x:c>
      <x:c r="M194" s="112" t="n">
        <x:f>IF('Session Training Data'!AF190="",0,IF(COUNTIF('Participants'!$A$5:$A$204,'Session Training Data'!AF190)=0,1,0))</x:f>
        <x:v>0</x:v>
      </x:c>
      <x:c r="N194" s="112" t="n">
        <x:f>IF(OR('Session Training Data'!A190="",'Session Training Data'!AF190=""),0,IF(COUNTIFS('Sessions'!$A$5:$A$204,'Session Training Data'!A190,'Sessions'!$B$5:$B$204,'Session Training Data'!AF190)=0,1,0))</x:f>
        <x:v>0</x:v>
      </x:c>
      <x:c r="O194" s="112" t="n">
        <x:f>IF('Session Training Data'!AF190="",0,IF(COUNTIFS('Participants'!$A$5:$A$204,'Session Training Data'!AF190,'Participants'!$D$5:$D$204,"yes")=0,1,0))</x:f>
        <x:v>0</x:v>
      </x:c>
      <x:c r="P194" s="112" t="n">
        <x:f>IF('Session Training Data'!AF190="",0,IF(COUNTIF('Session Training Data'!$AF$5:AF190,'Session Training Data'!AF190)=1,1,0))</x:f>
        <x:v>0</x:v>
      </x:c>
      <x:c r="Q194" s="112" t="n">
        <x:f>IF('Participants'!A190="",0,IF(COUNTIF('Participants'!$A$5:$A$204,'Participants'!A190)&gt;1,1,0))</x:f>
        <x:v>0</x:v>
      </x:c>
      <x:c r="R194" s="112" t="n">
        <x:f>IF('Sessions'!A190="",0,IF(COUNTIF('Sessions'!$A$5:$A$204,'Sessions'!A190)&gt;1,1,0))</x:f>
        <x:v>0</x:v>
      </x:c>
      <x:c r="S194" s="112" t="n">
        <x:f>IF('Attempts'!A190="",0,IF(COUNTIF('Attempts'!$A$5:$A$204,'Attempts'!A190)&gt;1,1,0))</x:f>
        <x:v>0</x:v>
      </x:c>
      <x:c r="T194" s="112" t="n">
        <x:f>IF('Session Training Data'!A190="",0,IF(COUNTIF('Session Training Data'!$A$5:$A$204,'Session Training Data'!A190)&gt;1,1,0))</x:f>
        <x:v>0</x:v>
      </x:c>
    </x:row>
    <x:row r="195">
      <x:c r="G195" s="112" t="n">
        <x:f>IF('Sessions'!B191="",0,IF(COUNTIF('Participants'!$A$5:$A$204,'Sessions'!B191)=0,1,0))</x:f>
        <x:v>0</x:v>
      </x:c>
      <x:c r="H195" s="112" t="n">
        <x:f>IF('Attempts'!B191="",0,IF(COUNTIF('Sessions'!$A$5:$A$204,'Attempts'!B191)=0,1,0))</x:f>
        <x:v>0</x:v>
      </x:c>
      <x:c r="I195" s="112" t="n">
        <x:f>IF('Sessions'!A191="",0,IF(COUNTIF('Expert Labels'!$B$5:$B$204,'Sessions'!A191)=0,1,0))</x:f>
        <x:v>0</x:v>
      </x:c>
      <x:c r="J195" s="112" t="n">
        <x:f>IF('Expert Labels'!B191="",0,IF(COUNTIF('Expert Labels'!$B$5:$B$204,'Expert Labels'!B191)&gt;1,1,0))</x:f>
        <x:v>0</x:v>
      </x:c>
      <x:c r="K195" s="112" t="n">
        <x:f>IF('Expert Labels'!B191="",0,IF(COUNTIF('Sessions'!$A$5:$A$204,'Expert Labels'!B191)=0,1,0))</x:f>
        <x:v>0</x:v>
      </x:c>
      <x:c r="L195" s="112" t="n">
        <x:f>IF('Session Training Data'!A191="",0,IF(COUNTIF('Sessions'!$A$5:$A$204,'Session Training Data'!A191)=0,1,0))</x:f>
        <x:v>0</x:v>
      </x:c>
      <x:c r="M195" s="112" t="n">
        <x:f>IF('Session Training Data'!AF191="",0,IF(COUNTIF('Participants'!$A$5:$A$204,'Session Training Data'!AF191)=0,1,0))</x:f>
        <x:v>0</x:v>
      </x:c>
      <x:c r="N195" s="112" t="n">
        <x:f>IF(OR('Session Training Data'!A191="",'Session Training Data'!AF191=""),0,IF(COUNTIFS('Sessions'!$A$5:$A$204,'Session Training Data'!A191,'Sessions'!$B$5:$B$204,'Session Training Data'!AF191)=0,1,0))</x:f>
        <x:v>0</x:v>
      </x:c>
      <x:c r="O195" s="112" t="n">
        <x:f>IF('Session Training Data'!AF191="",0,IF(COUNTIFS('Participants'!$A$5:$A$204,'Session Training Data'!AF191,'Participants'!$D$5:$D$204,"yes")=0,1,0))</x:f>
        <x:v>0</x:v>
      </x:c>
      <x:c r="P195" s="112" t="n">
        <x:f>IF('Session Training Data'!AF191="",0,IF(COUNTIF('Session Training Data'!$AF$5:AF191,'Session Training Data'!AF191)=1,1,0))</x:f>
        <x:v>0</x:v>
      </x:c>
      <x:c r="Q195" s="112" t="n">
        <x:f>IF('Participants'!A191="",0,IF(COUNTIF('Participants'!$A$5:$A$204,'Participants'!A191)&gt;1,1,0))</x:f>
        <x:v>0</x:v>
      </x:c>
      <x:c r="R195" s="112" t="n">
        <x:f>IF('Sessions'!A191="",0,IF(COUNTIF('Sessions'!$A$5:$A$204,'Sessions'!A191)&gt;1,1,0))</x:f>
        <x:v>0</x:v>
      </x:c>
      <x:c r="S195" s="112" t="n">
        <x:f>IF('Attempts'!A191="",0,IF(COUNTIF('Attempts'!$A$5:$A$204,'Attempts'!A191)&gt;1,1,0))</x:f>
        <x:v>0</x:v>
      </x:c>
      <x:c r="T195" s="112" t="n">
        <x:f>IF('Session Training Data'!A191="",0,IF(COUNTIF('Session Training Data'!$A$5:$A$204,'Session Training Data'!A191)&gt;1,1,0))</x:f>
        <x:v>0</x:v>
      </x:c>
    </x:row>
    <x:row r="196">
      <x:c r="G196" s="112" t="n">
        <x:f>IF('Sessions'!B192="",0,IF(COUNTIF('Participants'!$A$5:$A$204,'Sessions'!B192)=0,1,0))</x:f>
        <x:v>0</x:v>
      </x:c>
      <x:c r="H196" s="112" t="n">
        <x:f>IF('Attempts'!B192="",0,IF(COUNTIF('Sessions'!$A$5:$A$204,'Attempts'!B192)=0,1,0))</x:f>
        <x:v>0</x:v>
      </x:c>
      <x:c r="I196" s="112" t="n">
        <x:f>IF('Sessions'!A192="",0,IF(COUNTIF('Expert Labels'!$B$5:$B$204,'Sessions'!A192)=0,1,0))</x:f>
        <x:v>0</x:v>
      </x:c>
      <x:c r="J196" s="112" t="n">
        <x:f>IF('Expert Labels'!B192="",0,IF(COUNTIF('Expert Labels'!$B$5:$B$204,'Expert Labels'!B192)&gt;1,1,0))</x:f>
        <x:v>0</x:v>
      </x:c>
      <x:c r="K196" s="112" t="n">
        <x:f>IF('Expert Labels'!B192="",0,IF(COUNTIF('Sessions'!$A$5:$A$204,'Expert Labels'!B192)=0,1,0))</x:f>
        <x:v>0</x:v>
      </x:c>
      <x:c r="L196" s="112" t="n">
        <x:f>IF('Session Training Data'!A192="",0,IF(COUNTIF('Sessions'!$A$5:$A$204,'Session Training Data'!A192)=0,1,0))</x:f>
        <x:v>0</x:v>
      </x:c>
      <x:c r="M196" s="112" t="n">
        <x:f>IF('Session Training Data'!AF192="",0,IF(COUNTIF('Participants'!$A$5:$A$204,'Session Training Data'!AF192)=0,1,0))</x:f>
        <x:v>0</x:v>
      </x:c>
      <x:c r="N196" s="112" t="n">
        <x:f>IF(OR('Session Training Data'!A192="",'Session Training Data'!AF192=""),0,IF(COUNTIFS('Sessions'!$A$5:$A$204,'Session Training Data'!A192,'Sessions'!$B$5:$B$204,'Session Training Data'!AF192)=0,1,0))</x:f>
        <x:v>0</x:v>
      </x:c>
      <x:c r="O196" s="112" t="n">
        <x:f>IF('Session Training Data'!AF192="",0,IF(COUNTIFS('Participants'!$A$5:$A$204,'Session Training Data'!AF192,'Participants'!$D$5:$D$204,"yes")=0,1,0))</x:f>
        <x:v>0</x:v>
      </x:c>
      <x:c r="P196" s="112" t="n">
        <x:f>IF('Session Training Data'!AF192="",0,IF(COUNTIF('Session Training Data'!$AF$5:AF192,'Session Training Data'!AF192)=1,1,0))</x:f>
        <x:v>0</x:v>
      </x:c>
      <x:c r="Q196" s="112" t="n">
        <x:f>IF('Participants'!A192="",0,IF(COUNTIF('Participants'!$A$5:$A$204,'Participants'!A192)&gt;1,1,0))</x:f>
        <x:v>0</x:v>
      </x:c>
      <x:c r="R196" s="112" t="n">
        <x:f>IF('Sessions'!A192="",0,IF(COUNTIF('Sessions'!$A$5:$A$204,'Sessions'!A192)&gt;1,1,0))</x:f>
        <x:v>0</x:v>
      </x:c>
      <x:c r="S196" s="112" t="n">
        <x:f>IF('Attempts'!A192="",0,IF(COUNTIF('Attempts'!$A$5:$A$204,'Attempts'!A192)&gt;1,1,0))</x:f>
        <x:v>0</x:v>
      </x:c>
      <x:c r="T196" s="112" t="n">
        <x:f>IF('Session Training Data'!A192="",0,IF(COUNTIF('Session Training Data'!$A$5:$A$204,'Session Training Data'!A192)&gt;1,1,0))</x:f>
        <x:v>0</x:v>
      </x:c>
    </x:row>
    <x:row r="197">
      <x:c r="G197" s="112" t="n">
        <x:f>IF('Sessions'!B193="",0,IF(COUNTIF('Participants'!$A$5:$A$204,'Sessions'!B193)=0,1,0))</x:f>
        <x:v>0</x:v>
      </x:c>
      <x:c r="H197" s="112" t="n">
        <x:f>IF('Attempts'!B193="",0,IF(COUNTIF('Sessions'!$A$5:$A$204,'Attempts'!B193)=0,1,0))</x:f>
        <x:v>0</x:v>
      </x:c>
      <x:c r="I197" s="112" t="n">
        <x:f>IF('Sessions'!A193="",0,IF(COUNTIF('Expert Labels'!$B$5:$B$204,'Sessions'!A193)=0,1,0))</x:f>
        <x:v>0</x:v>
      </x:c>
      <x:c r="J197" s="112" t="n">
        <x:f>IF('Expert Labels'!B193="",0,IF(COUNTIF('Expert Labels'!$B$5:$B$204,'Expert Labels'!B193)&gt;1,1,0))</x:f>
        <x:v>0</x:v>
      </x:c>
      <x:c r="K197" s="112" t="n">
        <x:f>IF('Expert Labels'!B193="",0,IF(COUNTIF('Sessions'!$A$5:$A$204,'Expert Labels'!B193)=0,1,0))</x:f>
        <x:v>0</x:v>
      </x:c>
      <x:c r="L197" s="112" t="n">
        <x:f>IF('Session Training Data'!A193="",0,IF(COUNTIF('Sessions'!$A$5:$A$204,'Session Training Data'!A193)=0,1,0))</x:f>
        <x:v>0</x:v>
      </x:c>
      <x:c r="M197" s="112" t="n">
        <x:f>IF('Session Training Data'!AF193="",0,IF(COUNTIF('Participants'!$A$5:$A$204,'Session Training Data'!AF193)=0,1,0))</x:f>
        <x:v>0</x:v>
      </x:c>
      <x:c r="N197" s="112" t="n">
        <x:f>IF(OR('Session Training Data'!A193="",'Session Training Data'!AF193=""),0,IF(COUNTIFS('Sessions'!$A$5:$A$204,'Session Training Data'!A193,'Sessions'!$B$5:$B$204,'Session Training Data'!AF193)=0,1,0))</x:f>
        <x:v>0</x:v>
      </x:c>
      <x:c r="O197" s="112" t="n">
        <x:f>IF('Session Training Data'!AF193="",0,IF(COUNTIFS('Participants'!$A$5:$A$204,'Session Training Data'!AF193,'Participants'!$D$5:$D$204,"yes")=0,1,0))</x:f>
        <x:v>0</x:v>
      </x:c>
      <x:c r="P197" s="112" t="n">
        <x:f>IF('Session Training Data'!AF193="",0,IF(COUNTIF('Session Training Data'!$AF$5:AF193,'Session Training Data'!AF193)=1,1,0))</x:f>
        <x:v>0</x:v>
      </x:c>
      <x:c r="Q197" s="112" t="n">
        <x:f>IF('Participants'!A193="",0,IF(COUNTIF('Participants'!$A$5:$A$204,'Participants'!A193)&gt;1,1,0))</x:f>
        <x:v>0</x:v>
      </x:c>
      <x:c r="R197" s="112" t="n">
        <x:f>IF('Sessions'!A193="",0,IF(COUNTIF('Sessions'!$A$5:$A$204,'Sessions'!A193)&gt;1,1,0))</x:f>
        <x:v>0</x:v>
      </x:c>
      <x:c r="S197" s="112" t="n">
        <x:f>IF('Attempts'!A193="",0,IF(COUNTIF('Attempts'!$A$5:$A$204,'Attempts'!A193)&gt;1,1,0))</x:f>
        <x:v>0</x:v>
      </x:c>
      <x:c r="T197" s="112" t="n">
        <x:f>IF('Session Training Data'!A193="",0,IF(COUNTIF('Session Training Data'!$A$5:$A$204,'Session Training Data'!A193)&gt;1,1,0))</x:f>
        <x:v>0</x:v>
      </x:c>
    </x:row>
    <x:row r="198">
      <x:c r="G198" s="112" t="n">
        <x:f>IF('Sessions'!B194="",0,IF(COUNTIF('Participants'!$A$5:$A$204,'Sessions'!B194)=0,1,0))</x:f>
        <x:v>0</x:v>
      </x:c>
      <x:c r="H198" s="112" t="n">
        <x:f>IF('Attempts'!B194="",0,IF(COUNTIF('Sessions'!$A$5:$A$204,'Attempts'!B194)=0,1,0))</x:f>
        <x:v>0</x:v>
      </x:c>
      <x:c r="I198" s="112" t="n">
        <x:f>IF('Sessions'!A194="",0,IF(COUNTIF('Expert Labels'!$B$5:$B$204,'Sessions'!A194)=0,1,0))</x:f>
        <x:v>0</x:v>
      </x:c>
      <x:c r="J198" s="112" t="n">
        <x:f>IF('Expert Labels'!B194="",0,IF(COUNTIF('Expert Labels'!$B$5:$B$204,'Expert Labels'!B194)&gt;1,1,0))</x:f>
        <x:v>0</x:v>
      </x:c>
      <x:c r="K198" s="112" t="n">
        <x:f>IF('Expert Labels'!B194="",0,IF(COUNTIF('Sessions'!$A$5:$A$204,'Expert Labels'!B194)=0,1,0))</x:f>
        <x:v>0</x:v>
      </x:c>
      <x:c r="L198" s="112" t="n">
        <x:f>IF('Session Training Data'!A194="",0,IF(COUNTIF('Sessions'!$A$5:$A$204,'Session Training Data'!A194)=0,1,0))</x:f>
        <x:v>0</x:v>
      </x:c>
      <x:c r="M198" s="112" t="n">
        <x:f>IF('Session Training Data'!AF194="",0,IF(COUNTIF('Participants'!$A$5:$A$204,'Session Training Data'!AF194)=0,1,0))</x:f>
        <x:v>0</x:v>
      </x:c>
      <x:c r="N198" s="112" t="n">
        <x:f>IF(OR('Session Training Data'!A194="",'Session Training Data'!AF194=""),0,IF(COUNTIFS('Sessions'!$A$5:$A$204,'Session Training Data'!A194,'Sessions'!$B$5:$B$204,'Session Training Data'!AF194)=0,1,0))</x:f>
        <x:v>0</x:v>
      </x:c>
      <x:c r="O198" s="112" t="n">
        <x:f>IF('Session Training Data'!AF194="",0,IF(COUNTIFS('Participants'!$A$5:$A$204,'Session Training Data'!AF194,'Participants'!$D$5:$D$204,"yes")=0,1,0))</x:f>
        <x:v>0</x:v>
      </x:c>
      <x:c r="P198" s="112" t="n">
        <x:f>IF('Session Training Data'!AF194="",0,IF(COUNTIF('Session Training Data'!$AF$5:AF194,'Session Training Data'!AF194)=1,1,0))</x:f>
        <x:v>0</x:v>
      </x:c>
      <x:c r="Q198" s="112" t="n">
        <x:f>IF('Participants'!A194="",0,IF(COUNTIF('Participants'!$A$5:$A$204,'Participants'!A194)&gt;1,1,0))</x:f>
        <x:v>0</x:v>
      </x:c>
      <x:c r="R198" s="112" t="n">
        <x:f>IF('Sessions'!A194="",0,IF(COUNTIF('Sessions'!$A$5:$A$204,'Sessions'!A194)&gt;1,1,0))</x:f>
        <x:v>0</x:v>
      </x:c>
      <x:c r="S198" s="112" t="n">
        <x:f>IF('Attempts'!A194="",0,IF(COUNTIF('Attempts'!$A$5:$A$204,'Attempts'!A194)&gt;1,1,0))</x:f>
        <x:v>0</x:v>
      </x:c>
      <x:c r="T198" s="112" t="n">
        <x:f>IF('Session Training Data'!A194="",0,IF(COUNTIF('Session Training Data'!$A$5:$A$204,'Session Training Data'!A194)&gt;1,1,0))</x:f>
        <x:v>0</x:v>
      </x:c>
    </x:row>
    <x:row r="199">
      <x:c r="G199" s="112" t="n">
        <x:f>IF('Sessions'!B195="",0,IF(COUNTIF('Participants'!$A$5:$A$204,'Sessions'!B195)=0,1,0))</x:f>
        <x:v>0</x:v>
      </x:c>
      <x:c r="H199" s="112" t="n">
        <x:f>IF('Attempts'!B195="",0,IF(COUNTIF('Sessions'!$A$5:$A$204,'Attempts'!B195)=0,1,0))</x:f>
        <x:v>0</x:v>
      </x:c>
      <x:c r="I199" s="112" t="n">
        <x:f>IF('Sessions'!A195="",0,IF(COUNTIF('Expert Labels'!$B$5:$B$204,'Sessions'!A195)=0,1,0))</x:f>
        <x:v>0</x:v>
      </x:c>
      <x:c r="J199" s="112" t="n">
        <x:f>IF('Expert Labels'!B195="",0,IF(COUNTIF('Expert Labels'!$B$5:$B$204,'Expert Labels'!B195)&gt;1,1,0))</x:f>
        <x:v>0</x:v>
      </x:c>
      <x:c r="K199" s="112" t="n">
        <x:f>IF('Expert Labels'!B195="",0,IF(COUNTIF('Sessions'!$A$5:$A$204,'Expert Labels'!B195)=0,1,0))</x:f>
        <x:v>0</x:v>
      </x:c>
      <x:c r="L199" s="112" t="n">
        <x:f>IF('Session Training Data'!A195="",0,IF(COUNTIF('Sessions'!$A$5:$A$204,'Session Training Data'!A195)=0,1,0))</x:f>
        <x:v>0</x:v>
      </x:c>
      <x:c r="M199" s="112" t="n">
        <x:f>IF('Session Training Data'!AF195="",0,IF(COUNTIF('Participants'!$A$5:$A$204,'Session Training Data'!AF195)=0,1,0))</x:f>
        <x:v>0</x:v>
      </x:c>
      <x:c r="N199" s="112" t="n">
        <x:f>IF(OR('Session Training Data'!A195="",'Session Training Data'!AF195=""),0,IF(COUNTIFS('Sessions'!$A$5:$A$204,'Session Training Data'!A195,'Sessions'!$B$5:$B$204,'Session Training Data'!AF195)=0,1,0))</x:f>
        <x:v>0</x:v>
      </x:c>
      <x:c r="O199" s="112" t="n">
        <x:f>IF('Session Training Data'!AF195="",0,IF(COUNTIFS('Participants'!$A$5:$A$204,'Session Training Data'!AF195,'Participants'!$D$5:$D$204,"yes")=0,1,0))</x:f>
        <x:v>0</x:v>
      </x:c>
      <x:c r="P199" s="112" t="n">
        <x:f>IF('Session Training Data'!AF195="",0,IF(COUNTIF('Session Training Data'!$AF$5:AF195,'Session Training Data'!AF195)=1,1,0))</x:f>
        <x:v>0</x:v>
      </x:c>
      <x:c r="Q199" s="112" t="n">
        <x:f>IF('Participants'!A195="",0,IF(COUNTIF('Participants'!$A$5:$A$204,'Participants'!A195)&gt;1,1,0))</x:f>
        <x:v>0</x:v>
      </x:c>
      <x:c r="R199" s="112" t="n">
        <x:f>IF('Sessions'!A195="",0,IF(COUNTIF('Sessions'!$A$5:$A$204,'Sessions'!A195)&gt;1,1,0))</x:f>
        <x:v>0</x:v>
      </x:c>
      <x:c r="S199" s="112" t="n">
        <x:f>IF('Attempts'!A195="",0,IF(COUNTIF('Attempts'!$A$5:$A$204,'Attempts'!A195)&gt;1,1,0))</x:f>
        <x:v>0</x:v>
      </x:c>
      <x:c r="T199" s="112" t="n">
        <x:f>IF('Session Training Data'!A195="",0,IF(COUNTIF('Session Training Data'!$A$5:$A$204,'Session Training Data'!A195)&gt;1,1,0))</x:f>
        <x:v>0</x:v>
      </x:c>
    </x:row>
    <x:row r="200">
      <x:c r="G200" s="112" t="n">
        <x:f>IF('Sessions'!B196="",0,IF(COUNTIF('Participants'!$A$5:$A$204,'Sessions'!B196)=0,1,0))</x:f>
        <x:v>0</x:v>
      </x:c>
      <x:c r="H200" s="112" t="n">
        <x:f>IF('Attempts'!B196="",0,IF(COUNTIF('Sessions'!$A$5:$A$204,'Attempts'!B196)=0,1,0))</x:f>
        <x:v>0</x:v>
      </x:c>
      <x:c r="I200" s="112" t="n">
        <x:f>IF('Sessions'!A196="",0,IF(COUNTIF('Expert Labels'!$B$5:$B$204,'Sessions'!A196)=0,1,0))</x:f>
        <x:v>0</x:v>
      </x:c>
      <x:c r="J200" s="112" t="n">
        <x:f>IF('Expert Labels'!B196="",0,IF(COUNTIF('Expert Labels'!$B$5:$B$204,'Expert Labels'!B196)&gt;1,1,0))</x:f>
        <x:v>0</x:v>
      </x:c>
      <x:c r="K200" s="112" t="n">
        <x:f>IF('Expert Labels'!B196="",0,IF(COUNTIF('Sessions'!$A$5:$A$204,'Expert Labels'!B196)=0,1,0))</x:f>
        <x:v>0</x:v>
      </x:c>
      <x:c r="L200" s="112" t="n">
        <x:f>IF('Session Training Data'!A196="",0,IF(COUNTIF('Sessions'!$A$5:$A$204,'Session Training Data'!A196)=0,1,0))</x:f>
        <x:v>0</x:v>
      </x:c>
      <x:c r="M200" s="112" t="n">
        <x:f>IF('Session Training Data'!AF196="",0,IF(COUNTIF('Participants'!$A$5:$A$204,'Session Training Data'!AF196)=0,1,0))</x:f>
        <x:v>0</x:v>
      </x:c>
      <x:c r="N200" s="112" t="n">
        <x:f>IF(OR('Session Training Data'!A196="",'Session Training Data'!AF196=""),0,IF(COUNTIFS('Sessions'!$A$5:$A$204,'Session Training Data'!A196,'Sessions'!$B$5:$B$204,'Session Training Data'!AF196)=0,1,0))</x:f>
        <x:v>0</x:v>
      </x:c>
      <x:c r="O200" s="112" t="n">
        <x:f>IF('Session Training Data'!AF196="",0,IF(COUNTIFS('Participants'!$A$5:$A$204,'Session Training Data'!AF196,'Participants'!$D$5:$D$204,"yes")=0,1,0))</x:f>
        <x:v>0</x:v>
      </x:c>
      <x:c r="P200" s="112" t="n">
        <x:f>IF('Session Training Data'!AF196="",0,IF(COUNTIF('Session Training Data'!$AF$5:AF196,'Session Training Data'!AF196)=1,1,0))</x:f>
        <x:v>0</x:v>
      </x:c>
      <x:c r="Q200" s="112" t="n">
        <x:f>IF('Participants'!A196="",0,IF(COUNTIF('Participants'!$A$5:$A$204,'Participants'!A196)&gt;1,1,0))</x:f>
        <x:v>0</x:v>
      </x:c>
      <x:c r="R200" s="112" t="n">
        <x:f>IF('Sessions'!A196="",0,IF(COUNTIF('Sessions'!$A$5:$A$204,'Sessions'!A196)&gt;1,1,0))</x:f>
        <x:v>0</x:v>
      </x:c>
      <x:c r="S200" s="112" t="n">
        <x:f>IF('Attempts'!A196="",0,IF(COUNTIF('Attempts'!$A$5:$A$204,'Attempts'!A196)&gt;1,1,0))</x:f>
        <x:v>0</x:v>
      </x:c>
      <x:c r="T200" s="112" t="n">
        <x:f>IF('Session Training Data'!A196="",0,IF(COUNTIF('Session Training Data'!$A$5:$A$204,'Session Training Data'!A196)&gt;1,1,0))</x:f>
        <x:v>0</x:v>
      </x:c>
    </x:row>
    <x:row r="201">
      <x:c r="G201" s="112" t="n">
        <x:f>IF('Sessions'!B197="",0,IF(COUNTIF('Participants'!$A$5:$A$204,'Sessions'!B197)=0,1,0))</x:f>
        <x:v>0</x:v>
      </x:c>
      <x:c r="H201" s="112" t="n">
        <x:f>IF('Attempts'!B197="",0,IF(COUNTIF('Sessions'!$A$5:$A$204,'Attempts'!B197)=0,1,0))</x:f>
        <x:v>0</x:v>
      </x:c>
      <x:c r="I201" s="112" t="n">
        <x:f>IF('Sessions'!A197="",0,IF(COUNTIF('Expert Labels'!$B$5:$B$204,'Sessions'!A197)=0,1,0))</x:f>
        <x:v>0</x:v>
      </x:c>
      <x:c r="J201" s="112" t="n">
        <x:f>IF('Expert Labels'!B197="",0,IF(COUNTIF('Expert Labels'!$B$5:$B$204,'Expert Labels'!B197)&gt;1,1,0))</x:f>
        <x:v>0</x:v>
      </x:c>
      <x:c r="K201" s="112" t="n">
        <x:f>IF('Expert Labels'!B197="",0,IF(COUNTIF('Sessions'!$A$5:$A$204,'Expert Labels'!B197)=0,1,0))</x:f>
        <x:v>0</x:v>
      </x:c>
      <x:c r="L201" s="112" t="n">
        <x:f>IF('Session Training Data'!A197="",0,IF(COUNTIF('Sessions'!$A$5:$A$204,'Session Training Data'!A197)=0,1,0))</x:f>
        <x:v>0</x:v>
      </x:c>
      <x:c r="M201" s="112" t="n">
        <x:f>IF('Session Training Data'!AF197="",0,IF(COUNTIF('Participants'!$A$5:$A$204,'Session Training Data'!AF197)=0,1,0))</x:f>
        <x:v>0</x:v>
      </x:c>
      <x:c r="N201" s="112" t="n">
        <x:f>IF(OR('Session Training Data'!A197="",'Session Training Data'!AF197=""),0,IF(COUNTIFS('Sessions'!$A$5:$A$204,'Session Training Data'!A197,'Sessions'!$B$5:$B$204,'Session Training Data'!AF197)=0,1,0))</x:f>
        <x:v>0</x:v>
      </x:c>
      <x:c r="O201" s="112" t="n">
        <x:f>IF('Session Training Data'!AF197="",0,IF(COUNTIFS('Participants'!$A$5:$A$204,'Session Training Data'!AF197,'Participants'!$D$5:$D$204,"yes")=0,1,0))</x:f>
        <x:v>0</x:v>
      </x:c>
      <x:c r="P201" s="112" t="n">
        <x:f>IF('Session Training Data'!AF197="",0,IF(COUNTIF('Session Training Data'!$AF$5:AF197,'Session Training Data'!AF197)=1,1,0))</x:f>
        <x:v>0</x:v>
      </x:c>
      <x:c r="Q201" s="112" t="n">
        <x:f>IF('Participants'!A197="",0,IF(COUNTIF('Participants'!$A$5:$A$204,'Participants'!A197)&gt;1,1,0))</x:f>
        <x:v>0</x:v>
      </x:c>
      <x:c r="R201" s="112" t="n">
        <x:f>IF('Sessions'!A197="",0,IF(COUNTIF('Sessions'!$A$5:$A$204,'Sessions'!A197)&gt;1,1,0))</x:f>
        <x:v>0</x:v>
      </x:c>
      <x:c r="S201" s="112" t="n">
        <x:f>IF('Attempts'!A197="",0,IF(COUNTIF('Attempts'!$A$5:$A$204,'Attempts'!A197)&gt;1,1,0))</x:f>
        <x:v>0</x:v>
      </x:c>
      <x:c r="T201" s="112" t="n">
        <x:f>IF('Session Training Data'!A197="",0,IF(COUNTIF('Session Training Data'!$A$5:$A$204,'Session Training Data'!A197)&gt;1,1,0))</x:f>
        <x:v>0</x:v>
      </x:c>
    </x:row>
    <x:row r="202">
      <x:c r="G202" s="112" t="n">
        <x:f>IF('Sessions'!B198="",0,IF(COUNTIF('Participants'!$A$5:$A$204,'Sessions'!B198)=0,1,0))</x:f>
        <x:v>0</x:v>
      </x:c>
      <x:c r="H202" s="112" t="n">
        <x:f>IF('Attempts'!B198="",0,IF(COUNTIF('Sessions'!$A$5:$A$204,'Attempts'!B198)=0,1,0))</x:f>
        <x:v>0</x:v>
      </x:c>
      <x:c r="I202" s="112" t="n">
        <x:f>IF('Sessions'!A198="",0,IF(COUNTIF('Expert Labels'!$B$5:$B$204,'Sessions'!A198)=0,1,0))</x:f>
        <x:v>0</x:v>
      </x:c>
      <x:c r="J202" s="112" t="n">
        <x:f>IF('Expert Labels'!B198="",0,IF(COUNTIF('Expert Labels'!$B$5:$B$204,'Expert Labels'!B198)&gt;1,1,0))</x:f>
        <x:v>0</x:v>
      </x:c>
      <x:c r="K202" s="112" t="n">
        <x:f>IF('Expert Labels'!B198="",0,IF(COUNTIF('Sessions'!$A$5:$A$204,'Expert Labels'!B198)=0,1,0))</x:f>
        <x:v>0</x:v>
      </x:c>
      <x:c r="L202" s="112" t="n">
        <x:f>IF('Session Training Data'!A198="",0,IF(COUNTIF('Sessions'!$A$5:$A$204,'Session Training Data'!A198)=0,1,0))</x:f>
        <x:v>0</x:v>
      </x:c>
      <x:c r="M202" s="112" t="n">
        <x:f>IF('Session Training Data'!AF198="",0,IF(COUNTIF('Participants'!$A$5:$A$204,'Session Training Data'!AF198)=0,1,0))</x:f>
        <x:v>0</x:v>
      </x:c>
      <x:c r="N202" s="112" t="n">
        <x:f>IF(OR('Session Training Data'!A198="",'Session Training Data'!AF198=""),0,IF(COUNTIFS('Sessions'!$A$5:$A$204,'Session Training Data'!A198,'Sessions'!$B$5:$B$204,'Session Training Data'!AF198)=0,1,0))</x:f>
        <x:v>0</x:v>
      </x:c>
      <x:c r="O202" s="112" t="n">
        <x:f>IF('Session Training Data'!AF198="",0,IF(COUNTIFS('Participants'!$A$5:$A$204,'Session Training Data'!AF198,'Participants'!$D$5:$D$204,"yes")=0,1,0))</x:f>
        <x:v>0</x:v>
      </x:c>
      <x:c r="P202" s="112" t="n">
        <x:f>IF('Session Training Data'!AF198="",0,IF(COUNTIF('Session Training Data'!$AF$5:AF198,'Session Training Data'!AF198)=1,1,0))</x:f>
        <x:v>0</x:v>
      </x:c>
      <x:c r="Q202" s="112" t="n">
        <x:f>IF('Participants'!A198="",0,IF(COUNTIF('Participants'!$A$5:$A$204,'Participants'!A198)&gt;1,1,0))</x:f>
        <x:v>0</x:v>
      </x:c>
      <x:c r="R202" s="112" t="n">
        <x:f>IF('Sessions'!A198="",0,IF(COUNTIF('Sessions'!$A$5:$A$204,'Sessions'!A198)&gt;1,1,0))</x:f>
        <x:v>0</x:v>
      </x:c>
      <x:c r="S202" s="112" t="n">
        <x:f>IF('Attempts'!A198="",0,IF(COUNTIF('Attempts'!$A$5:$A$204,'Attempts'!A198)&gt;1,1,0))</x:f>
        <x:v>0</x:v>
      </x:c>
      <x:c r="T202" s="112" t="n">
        <x:f>IF('Session Training Data'!A198="",0,IF(COUNTIF('Session Training Data'!$A$5:$A$204,'Session Training Data'!A198)&gt;1,1,0))</x:f>
        <x:v>0</x:v>
      </x:c>
    </x:row>
    <x:row r="203">
      <x:c r="G203" s="112" t="n">
        <x:f>IF('Sessions'!B199="",0,IF(COUNTIF('Participants'!$A$5:$A$204,'Sessions'!B199)=0,1,0))</x:f>
        <x:v>0</x:v>
      </x:c>
      <x:c r="H203" s="112" t="n">
        <x:f>IF('Attempts'!B199="",0,IF(COUNTIF('Sessions'!$A$5:$A$204,'Attempts'!B199)=0,1,0))</x:f>
        <x:v>0</x:v>
      </x:c>
      <x:c r="I203" s="112" t="n">
        <x:f>IF('Sessions'!A199="",0,IF(COUNTIF('Expert Labels'!$B$5:$B$204,'Sessions'!A199)=0,1,0))</x:f>
        <x:v>0</x:v>
      </x:c>
      <x:c r="J203" s="112" t="n">
        <x:f>IF('Expert Labels'!B199="",0,IF(COUNTIF('Expert Labels'!$B$5:$B$204,'Expert Labels'!B199)&gt;1,1,0))</x:f>
        <x:v>0</x:v>
      </x:c>
      <x:c r="K203" s="112" t="n">
        <x:f>IF('Expert Labels'!B199="",0,IF(COUNTIF('Sessions'!$A$5:$A$204,'Expert Labels'!B199)=0,1,0))</x:f>
        <x:v>0</x:v>
      </x:c>
      <x:c r="L203" s="112" t="n">
        <x:f>IF('Session Training Data'!A199="",0,IF(COUNTIF('Sessions'!$A$5:$A$204,'Session Training Data'!A199)=0,1,0))</x:f>
        <x:v>0</x:v>
      </x:c>
      <x:c r="M203" s="112" t="n">
        <x:f>IF('Session Training Data'!AF199="",0,IF(COUNTIF('Participants'!$A$5:$A$204,'Session Training Data'!AF199)=0,1,0))</x:f>
        <x:v>0</x:v>
      </x:c>
      <x:c r="N203" s="112" t="n">
        <x:f>IF(OR('Session Training Data'!A199="",'Session Training Data'!AF199=""),0,IF(COUNTIFS('Sessions'!$A$5:$A$204,'Session Training Data'!A199,'Sessions'!$B$5:$B$204,'Session Training Data'!AF199)=0,1,0))</x:f>
        <x:v>0</x:v>
      </x:c>
      <x:c r="O203" s="112" t="n">
        <x:f>IF('Session Training Data'!AF199="",0,IF(COUNTIFS('Participants'!$A$5:$A$204,'Session Training Data'!AF199,'Participants'!$D$5:$D$204,"yes")=0,1,0))</x:f>
        <x:v>0</x:v>
      </x:c>
      <x:c r="P203" s="112" t="n">
        <x:f>IF('Session Training Data'!AF199="",0,IF(COUNTIF('Session Training Data'!$AF$5:AF199,'Session Training Data'!AF199)=1,1,0))</x:f>
        <x:v>0</x:v>
      </x:c>
      <x:c r="Q203" s="112" t="n">
        <x:f>IF('Participants'!A199="",0,IF(COUNTIF('Participants'!$A$5:$A$204,'Participants'!A199)&gt;1,1,0))</x:f>
        <x:v>0</x:v>
      </x:c>
      <x:c r="R203" s="112" t="n">
        <x:f>IF('Sessions'!A199="",0,IF(COUNTIF('Sessions'!$A$5:$A$204,'Sessions'!A199)&gt;1,1,0))</x:f>
        <x:v>0</x:v>
      </x:c>
      <x:c r="S203" s="112" t="n">
        <x:f>IF('Attempts'!A199="",0,IF(COUNTIF('Attempts'!$A$5:$A$204,'Attempts'!A199)&gt;1,1,0))</x:f>
        <x:v>0</x:v>
      </x:c>
      <x:c r="T203" s="112" t="n">
        <x:f>IF('Session Training Data'!A199="",0,IF(COUNTIF('Session Training Data'!$A$5:$A$204,'Session Training Data'!A199)&gt;1,1,0))</x:f>
        <x:v>0</x:v>
      </x:c>
    </x:row>
    <x:row r="204">
      <x:c r="G204" s="112" t="n">
        <x:f>IF('Sessions'!B200="",0,IF(COUNTIF('Participants'!$A$5:$A$204,'Sessions'!B200)=0,1,0))</x:f>
        <x:v>0</x:v>
      </x:c>
      <x:c r="H204" s="112" t="n">
        <x:f>IF('Attempts'!B200="",0,IF(COUNTIF('Sessions'!$A$5:$A$204,'Attempts'!B200)=0,1,0))</x:f>
        <x:v>0</x:v>
      </x:c>
      <x:c r="I204" s="112" t="n">
        <x:f>IF('Sessions'!A200="",0,IF(COUNTIF('Expert Labels'!$B$5:$B$204,'Sessions'!A200)=0,1,0))</x:f>
        <x:v>0</x:v>
      </x:c>
      <x:c r="J204" s="112" t="n">
        <x:f>IF('Expert Labels'!B200="",0,IF(COUNTIF('Expert Labels'!$B$5:$B$204,'Expert Labels'!B200)&gt;1,1,0))</x:f>
        <x:v>0</x:v>
      </x:c>
      <x:c r="K204" s="112" t="n">
        <x:f>IF('Expert Labels'!B200="",0,IF(COUNTIF('Sessions'!$A$5:$A$204,'Expert Labels'!B200)=0,1,0))</x:f>
        <x:v>0</x:v>
      </x:c>
      <x:c r="L204" s="112" t="n">
        <x:f>IF('Session Training Data'!A200="",0,IF(COUNTIF('Sessions'!$A$5:$A$204,'Session Training Data'!A200)=0,1,0))</x:f>
        <x:v>0</x:v>
      </x:c>
      <x:c r="M204" s="112" t="n">
        <x:f>IF('Session Training Data'!AF200="",0,IF(COUNTIF('Participants'!$A$5:$A$204,'Session Training Data'!AF200)=0,1,0))</x:f>
        <x:v>0</x:v>
      </x:c>
      <x:c r="N204" s="112" t="n">
        <x:f>IF(OR('Session Training Data'!A200="",'Session Training Data'!AF200=""),0,IF(COUNTIFS('Sessions'!$A$5:$A$204,'Session Training Data'!A200,'Sessions'!$B$5:$B$204,'Session Training Data'!AF200)=0,1,0))</x:f>
        <x:v>0</x:v>
      </x:c>
      <x:c r="O204" s="112" t="n">
        <x:f>IF('Session Training Data'!AF200="",0,IF(COUNTIFS('Participants'!$A$5:$A$204,'Session Training Data'!AF200,'Participants'!$D$5:$D$204,"yes")=0,1,0))</x:f>
        <x:v>0</x:v>
      </x:c>
      <x:c r="P204" s="112" t="n">
        <x:f>IF('Session Training Data'!AF200="",0,IF(COUNTIF('Session Training Data'!$AF$5:AF200,'Session Training Data'!AF200)=1,1,0))</x:f>
        <x:v>0</x:v>
      </x:c>
      <x:c r="Q204" s="112" t="n">
        <x:f>IF('Participants'!A200="",0,IF(COUNTIF('Participants'!$A$5:$A$204,'Participants'!A200)&gt;1,1,0))</x:f>
        <x:v>0</x:v>
      </x:c>
      <x:c r="R204" s="112" t="n">
        <x:f>IF('Sessions'!A200="",0,IF(COUNTIF('Sessions'!$A$5:$A$204,'Sessions'!A200)&gt;1,1,0))</x:f>
        <x:v>0</x:v>
      </x:c>
      <x:c r="S204" s="112" t="n">
        <x:f>IF('Attempts'!A200="",0,IF(COUNTIF('Attempts'!$A$5:$A$204,'Attempts'!A200)&gt;1,1,0))</x:f>
        <x:v>0</x:v>
      </x:c>
      <x:c r="T204" s="112" t="n">
        <x:f>IF('Session Training Data'!A200="",0,IF(COUNTIF('Session Training Data'!$A$5:$A$204,'Session Training Data'!A200)&gt;1,1,0))</x:f>
        <x:v>0</x:v>
      </x:c>
    </x:row>
    <x:row r="205">
      <x:c r="G205" s="112" t="n">
        <x:f>IF('Sessions'!B201="",0,IF(COUNTIF('Participants'!$A$5:$A$204,'Sessions'!B201)=0,1,0))</x:f>
        <x:v>0</x:v>
      </x:c>
      <x:c r="H205" s="112" t="n">
        <x:f>IF('Attempts'!B201="",0,IF(COUNTIF('Sessions'!$A$5:$A$204,'Attempts'!B201)=0,1,0))</x:f>
        <x:v>0</x:v>
      </x:c>
      <x:c r="I205" s="112" t="n">
        <x:f>IF('Sessions'!A201="",0,IF(COUNTIF('Expert Labels'!$B$5:$B$204,'Sessions'!A201)=0,1,0))</x:f>
        <x:v>0</x:v>
      </x:c>
      <x:c r="J205" s="112" t="n">
        <x:f>IF('Expert Labels'!B201="",0,IF(COUNTIF('Expert Labels'!$B$5:$B$204,'Expert Labels'!B201)&gt;1,1,0))</x:f>
        <x:v>0</x:v>
      </x:c>
      <x:c r="K205" s="112" t="n">
        <x:f>IF('Expert Labels'!B201="",0,IF(COUNTIF('Sessions'!$A$5:$A$204,'Expert Labels'!B201)=0,1,0))</x:f>
        <x:v>0</x:v>
      </x:c>
      <x:c r="L205" s="112" t="n">
        <x:f>IF('Session Training Data'!A201="",0,IF(COUNTIF('Sessions'!$A$5:$A$204,'Session Training Data'!A201)=0,1,0))</x:f>
        <x:v>0</x:v>
      </x:c>
      <x:c r="M205" s="112" t="n">
        <x:f>IF('Session Training Data'!AF201="",0,IF(COUNTIF('Participants'!$A$5:$A$204,'Session Training Data'!AF201)=0,1,0))</x:f>
        <x:v>0</x:v>
      </x:c>
      <x:c r="N205" s="112" t="n">
        <x:f>IF(OR('Session Training Data'!A201="",'Session Training Data'!AF201=""),0,IF(COUNTIFS('Sessions'!$A$5:$A$204,'Session Training Data'!A201,'Sessions'!$B$5:$B$204,'Session Training Data'!AF201)=0,1,0))</x:f>
        <x:v>0</x:v>
      </x:c>
      <x:c r="O205" s="112" t="n">
        <x:f>IF('Session Training Data'!AF201="",0,IF(COUNTIFS('Participants'!$A$5:$A$204,'Session Training Data'!AF201,'Participants'!$D$5:$D$204,"yes")=0,1,0))</x:f>
        <x:v>0</x:v>
      </x:c>
      <x:c r="P205" s="112" t="n">
        <x:f>IF('Session Training Data'!AF201="",0,IF(COUNTIF('Session Training Data'!$AF$5:AF201,'Session Training Data'!AF201)=1,1,0))</x:f>
        <x:v>0</x:v>
      </x:c>
      <x:c r="Q205" s="112" t="n">
        <x:f>IF('Participants'!A201="",0,IF(COUNTIF('Participants'!$A$5:$A$204,'Participants'!A201)&gt;1,1,0))</x:f>
        <x:v>0</x:v>
      </x:c>
      <x:c r="R205" s="112" t="n">
        <x:f>IF('Sessions'!A201="",0,IF(COUNTIF('Sessions'!$A$5:$A$204,'Sessions'!A201)&gt;1,1,0))</x:f>
        <x:v>0</x:v>
      </x:c>
      <x:c r="S205" s="112" t="n">
        <x:f>IF('Attempts'!A201="",0,IF(COUNTIF('Attempts'!$A$5:$A$204,'Attempts'!A201)&gt;1,1,0))</x:f>
        <x:v>0</x:v>
      </x:c>
      <x:c r="T205" s="112" t="n">
        <x:f>IF('Session Training Data'!A201="",0,IF(COUNTIF('Session Training Data'!$A$5:$A$204,'Session Training Data'!A201)&gt;1,1,0))</x:f>
        <x:v>0</x:v>
      </x:c>
    </x:row>
    <x:row r="206">
      <x:c r="G206" s="112" t="n">
        <x:f>IF('Sessions'!B202="",0,IF(COUNTIF('Participants'!$A$5:$A$204,'Sessions'!B202)=0,1,0))</x:f>
        <x:v>0</x:v>
      </x:c>
      <x:c r="H206" s="112" t="n">
        <x:f>IF('Attempts'!B202="",0,IF(COUNTIF('Sessions'!$A$5:$A$204,'Attempts'!B202)=0,1,0))</x:f>
        <x:v>0</x:v>
      </x:c>
      <x:c r="I206" s="112" t="n">
        <x:f>IF('Sessions'!A202="",0,IF(COUNTIF('Expert Labels'!$B$5:$B$204,'Sessions'!A202)=0,1,0))</x:f>
        <x:v>0</x:v>
      </x:c>
      <x:c r="J206" s="112" t="n">
        <x:f>IF('Expert Labels'!B202="",0,IF(COUNTIF('Expert Labels'!$B$5:$B$204,'Expert Labels'!B202)&gt;1,1,0))</x:f>
        <x:v>0</x:v>
      </x:c>
      <x:c r="K206" s="112" t="n">
        <x:f>IF('Expert Labels'!B202="",0,IF(COUNTIF('Sessions'!$A$5:$A$204,'Expert Labels'!B202)=0,1,0))</x:f>
        <x:v>0</x:v>
      </x:c>
      <x:c r="L206" s="112" t="n">
        <x:f>IF('Session Training Data'!A202="",0,IF(COUNTIF('Sessions'!$A$5:$A$204,'Session Training Data'!A202)=0,1,0))</x:f>
        <x:v>0</x:v>
      </x:c>
      <x:c r="M206" s="112" t="n">
        <x:f>IF('Session Training Data'!AF202="",0,IF(COUNTIF('Participants'!$A$5:$A$204,'Session Training Data'!AF202)=0,1,0))</x:f>
        <x:v>0</x:v>
      </x:c>
      <x:c r="N206" s="112" t="n">
        <x:f>IF(OR('Session Training Data'!A202="",'Session Training Data'!AF202=""),0,IF(COUNTIFS('Sessions'!$A$5:$A$204,'Session Training Data'!A202,'Sessions'!$B$5:$B$204,'Session Training Data'!AF202)=0,1,0))</x:f>
        <x:v>0</x:v>
      </x:c>
      <x:c r="O206" s="112" t="n">
        <x:f>IF('Session Training Data'!AF202="",0,IF(COUNTIFS('Participants'!$A$5:$A$204,'Session Training Data'!AF202,'Participants'!$D$5:$D$204,"yes")=0,1,0))</x:f>
        <x:v>0</x:v>
      </x:c>
      <x:c r="P206" s="112" t="n">
        <x:f>IF('Session Training Data'!AF202="",0,IF(COUNTIF('Session Training Data'!$AF$5:AF202,'Session Training Data'!AF202)=1,1,0))</x:f>
        <x:v>0</x:v>
      </x:c>
      <x:c r="Q206" s="112" t="n">
        <x:f>IF('Participants'!A202="",0,IF(COUNTIF('Participants'!$A$5:$A$204,'Participants'!A202)&gt;1,1,0))</x:f>
        <x:v>0</x:v>
      </x:c>
      <x:c r="R206" s="112" t="n">
        <x:f>IF('Sessions'!A202="",0,IF(COUNTIF('Sessions'!$A$5:$A$204,'Sessions'!A202)&gt;1,1,0))</x:f>
        <x:v>0</x:v>
      </x:c>
      <x:c r="S206" s="112" t="n">
        <x:f>IF('Attempts'!A202="",0,IF(COUNTIF('Attempts'!$A$5:$A$204,'Attempts'!A202)&gt;1,1,0))</x:f>
        <x:v>0</x:v>
      </x:c>
      <x:c r="T206" s="112" t="n">
        <x:f>IF('Session Training Data'!A202="",0,IF(COUNTIF('Session Training Data'!$A$5:$A$204,'Session Training Data'!A202)&gt;1,1,0))</x:f>
        <x:v>0</x:v>
      </x:c>
    </x:row>
    <x:row r="207">
      <x:c r="G207" s="112" t="n">
        <x:f>IF('Sessions'!B203="",0,IF(COUNTIF('Participants'!$A$5:$A$204,'Sessions'!B203)=0,1,0))</x:f>
        <x:v>0</x:v>
      </x:c>
      <x:c r="H207" s="112" t="n">
        <x:f>IF('Attempts'!B203="",0,IF(COUNTIF('Sessions'!$A$5:$A$204,'Attempts'!B203)=0,1,0))</x:f>
        <x:v>0</x:v>
      </x:c>
      <x:c r="I207" s="112" t="n">
        <x:f>IF('Sessions'!A203="",0,IF(COUNTIF('Expert Labels'!$B$5:$B$204,'Sessions'!A203)=0,1,0))</x:f>
        <x:v>0</x:v>
      </x:c>
      <x:c r="J207" s="112" t="n">
        <x:f>IF('Expert Labels'!B203="",0,IF(COUNTIF('Expert Labels'!$B$5:$B$204,'Expert Labels'!B203)&gt;1,1,0))</x:f>
        <x:v>0</x:v>
      </x:c>
      <x:c r="K207" s="112" t="n">
        <x:f>IF('Expert Labels'!B203="",0,IF(COUNTIF('Sessions'!$A$5:$A$204,'Expert Labels'!B203)=0,1,0))</x:f>
        <x:v>0</x:v>
      </x:c>
      <x:c r="L207" s="112" t="n">
        <x:f>IF('Session Training Data'!A203="",0,IF(COUNTIF('Sessions'!$A$5:$A$204,'Session Training Data'!A203)=0,1,0))</x:f>
        <x:v>0</x:v>
      </x:c>
      <x:c r="M207" s="112" t="n">
        <x:f>IF('Session Training Data'!AF203="",0,IF(COUNTIF('Participants'!$A$5:$A$204,'Session Training Data'!AF203)=0,1,0))</x:f>
        <x:v>0</x:v>
      </x:c>
      <x:c r="N207" s="112" t="n">
        <x:f>IF(OR('Session Training Data'!A203="",'Session Training Data'!AF203=""),0,IF(COUNTIFS('Sessions'!$A$5:$A$204,'Session Training Data'!A203,'Sessions'!$B$5:$B$204,'Session Training Data'!AF203)=0,1,0))</x:f>
        <x:v>0</x:v>
      </x:c>
      <x:c r="O207" s="112" t="n">
        <x:f>IF('Session Training Data'!AF203="",0,IF(COUNTIFS('Participants'!$A$5:$A$204,'Session Training Data'!AF203,'Participants'!$D$5:$D$204,"yes")=0,1,0))</x:f>
        <x:v>0</x:v>
      </x:c>
      <x:c r="P207" s="112" t="n">
        <x:f>IF('Session Training Data'!AF203="",0,IF(COUNTIF('Session Training Data'!$AF$5:AF203,'Session Training Data'!AF203)=1,1,0))</x:f>
        <x:v>0</x:v>
      </x:c>
      <x:c r="Q207" s="112" t="n">
        <x:f>IF('Participants'!A203="",0,IF(COUNTIF('Participants'!$A$5:$A$204,'Participants'!A203)&gt;1,1,0))</x:f>
        <x:v>0</x:v>
      </x:c>
      <x:c r="R207" s="112" t="n">
        <x:f>IF('Sessions'!A203="",0,IF(COUNTIF('Sessions'!$A$5:$A$204,'Sessions'!A203)&gt;1,1,0))</x:f>
        <x:v>0</x:v>
      </x:c>
      <x:c r="S207" s="112" t="n">
        <x:f>IF('Attempts'!A203="",0,IF(COUNTIF('Attempts'!$A$5:$A$204,'Attempts'!A203)&gt;1,1,0))</x:f>
        <x:v>0</x:v>
      </x:c>
      <x:c r="T207" s="112" t="n">
        <x:f>IF('Session Training Data'!A203="",0,IF(COUNTIF('Session Training Data'!$A$5:$A$204,'Session Training Data'!A203)&gt;1,1,0))</x:f>
        <x:v>0</x:v>
      </x:c>
    </x:row>
    <x:row r="208">
      <x:c r="G208" s="112" t="n">
        <x:f>IF('Sessions'!B204="",0,IF(COUNTIF('Participants'!$A$5:$A$204,'Sessions'!B204)=0,1,0))</x:f>
        <x:v>0</x:v>
      </x:c>
      <x:c r="H208" s="112" t="n">
        <x:f>IF('Attempts'!B204="",0,IF(COUNTIF('Sessions'!$A$5:$A$204,'Attempts'!B204)=0,1,0))</x:f>
        <x:v>0</x:v>
      </x:c>
      <x:c r="I208" s="112" t="n">
        <x:f>IF('Sessions'!A204="",0,IF(COUNTIF('Expert Labels'!$B$5:$B$204,'Sessions'!A204)=0,1,0))</x:f>
        <x:v>0</x:v>
      </x:c>
      <x:c r="J208" s="112" t="n">
        <x:f>IF('Expert Labels'!B204="",0,IF(COUNTIF('Expert Labels'!$B$5:$B$204,'Expert Labels'!B204)&gt;1,1,0))</x:f>
        <x:v>0</x:v>
      </x:c>
      <x:c r="K208" s="112" t="n">
        <x:f>IF('Expert Labels'!B204="",0,IF(COUNTIF('Sessions'!$A$5:$A$204,'Expert Labels'!B204)=0,1,0))</x:f>
        <x:v>0</x:v>
      </x:c>
      <x:c r="L208" s="112" t="n">
        <x:f>IF('Session Training Data'!A204="",0,IF(COUNTIF('Sessions'!$A$5:$A$204,'Session Training Data'!A204)=0,1,0))</x:f>
        <x:v>0</x:v>
      </x:c>
      <x:c r="M208" s="112" t="n">
        <x:f>IF('Session Training Data'!AF204="",0,IF(COUNTIF('Participants'!$A$5:$A$204,'Session Training Data'!AF204)=0,1,0))</x:f>
        <x:v>0</x:v>
      </x:c>
      <x:c r="N208" s="112" t="n">
        <x:f>IF(OR('Session Training Data'!A204="",'Session Training Data'!AF204=""),0,IF(COUNTIFS('Sessions'!$A$5:$A$204,'Session Training Data'!A204,'Sessions'!$B$5:$B$204,'Session Training Data'!AF204)=0,1,0))</x:f>
        <x:v>0</x:v>
      </x:c>
      <x:c r="O208" s="112" t="n">
        <x:f>IF('Session Training Data'!AF204="",0,IF(COUNTIFS('Participants'!$A$5:$A$204,'Session Training Data'!AF204,'Participants'!$D$5:$D$204,"yes")=0,1,0))</x:f>
        <x:v>0</x:v>
      </x:c>
      <x:c r="P208" s="112" t="n">
        <x:f>IF('Session Training Data'!AF204="",0,IF(COUNTIF('Session Training Data'!$AF$5:AF204,'Session Training Data'!AF204)=1,1,0))</x:f>
        <x:v>0</x:v>
      </x:c>
      <x:c r="Q208" s="112" t="n">
        <x:f>IF('Participants'!A204="",0,IF(COUNTIF('Participants'!$A$5:$A$204,'Participants'!A204)&gt;1,1,0))</x:f>
        <x:v>0</x:v>
      </x:c>
      <x:c r="R208" s="112" t="n">
        <x:f>IF('Sessions'!A204="",0,IF(COUNTIF('Sessions'!$A$5:$A$204,'Sessions'!A204)&gt;1,1,0))</x:f>
        <x:v>0</x:v>
      </x:c>
      <x:c r="S208" s="112" t="n">
        <x:f>IF('Attempts'!A204="",0,IF(COUNTIF('Attempts'!$A$5:$A$204,'Attempts'!A204)&gt;1,1,0))</x:f>
        <x:v>0</x:v>
      </x:c>
      <x:c r="T208" s="112" t="n">
        <x:f>IF('Session Training Data'!A204="",0,IF(COUNTIF('Session Training Data'!$A$5:$A$204,'Session Training Data'!A204)&gt;1,1,0))</x:f>
        <x:v>0</x:v>
      </x:c>
    </x:row>
  </x:sheetData>
  <x:mergeCells>
    <x:mergeCell ref="A1:E1"/>
    <x:mergeCell ref="A2:E2"/>
    <x:mergeCell ref="A4:B4"/>
    <x:mergeCell ref="C4:E4"/>
  </x:mergeCells>
  <x:conditionalFormatting sqref="D9:D47">
    <x:cfRule type="containsText" dxfId="0" priority="1" operator="containsText" text="PASS"/>
    <x:cfRule type="containsText" dxfId="1" priority="2" operator="containsText" text="ACTION"/>
    <x:cfRule type="containsText" dxfId="2" priority="3" operator="containsText" text="REVIEW"/>
    <x:cfRule type="containsText" dxfId="3" priority="4" operator="containsText" text="CHECK"/>
    <x:cfRule type="containsText" dxfId="4" priority="5" operator="containsText" text="INFO"/>
  </x:conditionalFormatting>
  <x:conditionalFormatting sqref="C4:C4">
    <x:cfRule type="expression" dxfId="5" priority="6">
      <x:formula>$C$4="READY"</x:formula>
    </x:cfRule>
    <x:cfRule type="expression" dxfId="6" priority="7">
      <x:formula>$C$4="NOT READY"</x:formula>
    </x:cfRule>
    <x:cfRule type="expression" dxfId="7" priority="8">
      <x:formula>$C$4="TEMPLATE EMPTY"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8cbfc7bbdf24f97"/>
  </x:tableParts>
</x:worksheet>
</file>